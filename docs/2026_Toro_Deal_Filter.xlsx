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ylerHancock\Desktop\"/>
    </mc:Choice>
  </mc:AlternateContent>
  <xr:revisionPtr revIDLastSave="0" documentId="13_ncr:1_{89A0FD51-AD4B-437D-A5F0-DBB636970846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Read Me" sheetId="1" r:id="rId1"/>
    <sheet name="Assumptions" sheetId="2" r:id="rId2"/>
    <sheet name="Demographics" sheetId="3" r:id="rId3"/>
    <sheet name="First Look UW" sheetId="5" r:id="rId4"/>
    <sheet name="Deal Screen" sheetId="4" r:id="rId5"/>
    <sheet name="Pipeline" sheetId="6" state="hidden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" i="6" l="1"/>
  <c r="G8" i="6"/>
  <c r="D8" i="6"/>
  <c r="C8" i="6"/>
  <c r="B8" i="6"/>
  <c r="D40" i="5"/>
  <c r="E40" i="5" s="1"/>
  <c r="D39" i="5"/>
  <c r="E39" i="5" s="1"/>
  <c r="E38" i="5"/>
  <c r="E41" i="5" s="1"/>
  <c r="D38" i="5"/>
  <c r="C34" i="5"/>
  <c r="C30" i="5"/>
  <c r="C31" i="5" s="1"/>
  <c r="C25" i="5"/>
  <c r="D17" i="5"/>
  <c r="E17" i="5" s="1"/>
  <c r="D16" i="5"/>
  <c r="E16" i="5" s="1"/>
  <c r="D15" i="5"/>
  <c r="E15" i="5" s="1"/>
  <c r="D11" i="5"/>
  <c r="C11" i="5"/>
  <c r="C44" i="5" s="1"/>
  <c r="E10" i="5"/>
  <c r="F10" i="5" s="1"/>
  <c r="E9" i="5"/>
  <c r="F9" i="5" s="1"/>
  <c r="E8" i="5"/>
  <c r="F8" i="5" s="1"/>
  <c r="F11" i="5" s="1"/>
  <c r="C21" i="5" s="1"/>
  <c r="C42" i="4"/>
  <c r="C40" i="4"/>
  <c r="D36" i="4"/>
  <c r="F36" i="4" s="1"/>
  <c r="D35" i="4"/>
  <c r="F35" i="4" s="1"/>
  <c r="D34" i="4"/>
  <c r="F34" i="4" s="1"/>
  <c r="D33" i="4"/>
  <c r="F33" i="4" s="1"/>
  <c r="D30" i="4"/>
  <c r="F30" i="4" s="1"/>
  <c r="D29" i="4"/>
  <c r="F29" i="4" s="1"/>
  <c r="D28" i="4"/>
  <c r="F28" i="4" s="1"/>
  <c r="D27" i="4"/>
  <c r="F27" i="4" s="1"/>
  <c r="D26" i="4"/>
  <c r="F26" i="4" s="1"/>
  <c r="D25" i="4"/>
  <c r="F25" i="4" s="1"/>
  <c r="D23" i="4"/>
  <c r="F23" i="4" s="1"/>
  <c r="D22" i="4"/>
  <c r="F22" i="4" s="1"/>
  <c r="D21" i="4"/>
  <c r="F21" i="4" s="1"/>
  <c r="D20" i="4"/>
  <c r="F20" i="4" s="1"/>
  <c r="D18" i="4"/>
  <c r="F18" i="4" s="1"/>
  <c r="D17" i="4"/>
  <c r="F17" i="4" s="1"/>
  <c r="D16" i="4"/>
  <c r="F16" i="4" s="1"/>
  <c r="C13" i="3"/>
  <c r="C16" i="3" s="1"/>
  <c r="C11" i="2"/>
  <c r="E18" i="5" l="1"/>
  <c r="C23" i="5" s="1"/>
  <c r="C52" i="5"/>
  <c r="G52" i="5"/>
  <c r="C43" i="5"/>
  <c r="E53" i="5"/>
  <c r="F51" i="5"/>
  <c r="E11" i="5"/>
  <c r="E52" i="5"/>
  <c r="F52" i="5"/>
  <c r="C53" i="5"/>
  <c r="C14" i="3"/>
  <c r="C49" i="5"/>
  <c r="C15" i="3"/>
  <c r="D49" i="5"/>
  <c r="F53" i="5"/>
  <c r="E49" i="5"/>
  <c r="G53" i="5"/>
  <c r="C22" i="5"/>
  <c r="C24" i="5" s="1"/>
  <c r="C26" i="5" s="1"/>
  <c r="F49" i="5"/>
  <c r="G49" i="5"/>
  <c r="D52" i="5"/>
  <c r="D53" i="5"/>
  <c r="C50" i="5"/>
  <c r="D50" i="5"/>
  <c r="E50" i="5"/>
  <c r="G50" i="5"/>
  <c r="C51" i="5"/>
  <c r="D51" i="5"/>
  <c r="I8" i="6" l="1"/>
  <c r="C33" i="5"/>
  <c r="C42" i="5"/>
  <c r="E8" i="6"/>
  <c r="D15" i="4"/>
  <c r="F15" i="4" s="1"/>
  <c r="I6" i="4" s="1"/>
  <c r="C41" i="4" s="1"/>
  <c r="C17" i="3"/>
  <c r="E51" i="5"/>
  <c r="G51" i="5"/>
  <c r="F50" i="5"/>
  <c r="C15" i="4" l="1"/>
  <c r="I10" i="4"/>
  <c r="I7" i="4" l="1"/>
  <c r="I9" i="4"/>
  <c r="C39" i="4"/>
  <c r="I11" i="4" l="1"/>
  <c r="I8" i="4"/>
  <c r="K8" i="6" l="1"/>
  <c r="H8" i="6"/>
  <c r="F8" i="6"/>
</calcChain>
</file>

<file path=xl/sharedStrings.xml><?xml version="1.0" encoding="utf-8"?>
<sst xmlns="http://schemas.openxmlformats.org/spreadsheetml/2006/main" count="359" uniqueCount="286">
  <si>
    <t>2026 Deal Filter</t>
  </si>
  <si>
    <t>HOW TO USE THIS WORKBOOK</t>
  </si>
  <si>
    <t>THE THREE QUESTIONS THIS ANSWERS</t>
  </si>
  <si>
    <t>Is it the right market?</t>
  </si>
  <si>
    <t>Demographics tab — the dashboard score and its band.</t>
  </si>
  <si>
    <t>Can we pay what they're asking?</t>
  </si>
  <si>
    <t>First Look UW — solves the maximum land price our yield supports.</t>
  </si>
  <si>
    <t>Should we do it?</t>
  </si>
  <si>
    <t>Deal Screen — nineteen criteria, weighted, with knockouts.</t>
  </si>
  <si>
    <t>INSTRUCTIONS</t>
  </si>
  <si>
    <t>Order of operations</t>
  </si>
  <si>
    <t>Set product type on the Deal Screen. Enter the two dashboard scores on Demographics. Build the First Look UW. Then answer the seventeen criteria.</t>
  </si>
  <si>
    <t>Cell convention</t>
  </si>
  <si>
    <t>Cream fill with blue text is an input. Grey or white cells are formula-driven — do not type over them.</t>
  </si>
  <si>
    <t>Answer scale</t>
  </si>
  <si>
    <t>Yes = 3, Maybe = 1, No = 0. Maybe is also the answer for unknown and counts toward the unknown test.</t>
  </si>
  <si>
    <t>Knockouts</t>
  </si>
  <si>
    <t>A 'No' on a KO-flagged criterion forces NO-GO regardless of score. Geography, Entitlements, Control, Brand fit, Capacity.</t>
  </si>
  <si>
    <t>Unknown ceiling</t>
  </si>
  <si>
    <t>Above 25% unknowns the verdict is INCOMPLETE. A deal we don't know enough about is not a deal we've approved.</t>
  </si>
  <si>
    <t>Probability</t>
  </si>
  <si>
    <t>A multiplier on the total, not one of the scored criteria. It ranks deals; it does not drive the verdict.</t>
  </si>
  <si>
    <t>Target yields</t>
  </si>
  <si>
    <t>Retail 7.50%, office 7.50%, multifamily 6.50%. The blended hurdle falls out of the component mix rather than being fixed at one number for every deal.</t>
  </si>
  <si>
    <t>Pad sales</t>
  </si>
  <si>
    <t>Hotel and townhome parcels are sold rather than built. Proceeds reduce our land basis, so they raise the price we can pay for the land.</t>
  </si>
  <si>
    <t>Structure</t>
  </si>
  <si>
    <t>The four buckets and all nineteen criterion names are unchanged from the retreat.</t>
  </si>
  <si>
    <t>Assumptions &amp; Calibration</t>
  </si>
  <si>
    <t>EVERY SCORING LEVER LIVES HERE</t>
  </si>
  <si>
    <t>BUCKET WEIGHTS</t>
  </si>
  <si>
    <t>Bucket</t>
  </si>
  <si>
    <t>Weight</t>
  </si>
  <si>
    <t>Basis</t>
  </si>
  <si>
    <t>Real Estate Considerations</t>
  </si>
  <si>
    <t>Market-level. Cannot be fixed by deal structure.</t>
  </si>
  <si>
    <t>Site Considerations</t>
  </si>
  <si>
    <t>Site-level. Fixable with time and money.</t>
  </si>
  <si>
    <t>Deal Considerations</t>
  </si>
  <si>
    <t>Process and structure. Negotiable.</t>
  </si>
  <si>
    <t>Toro Considerations</t>
  </si>
  <si>
    <t>Internal fit. The hardest to answer honestly.</t>
  </si>
  <si>
    <t>Total</t>
  </si>
  <si>
    <t>ANSWER SCALE</t>
  </si>
  <si>
    <t>Answer</t>
  </si>
  <si>
    <t>Points</t>
  </si>
  <si>
    <t>Meaning</t>
  </si>
  <si>
    <t>Yes</t>
  </si>
  <si>
    <t>Criterion is satisfied.</t>
  </si>
  <si>
    <t>Maybe / Unknown</t>
  </si>
  <si>
    <t>Uncertain or not yet diligenced. Counts toward the unknown test.</t>
  </si>
  <si>
    <t>No</t>
  </si>
  <si>
    <t>Criterion fails. Forces NO-GO if knockout-flagged.</t>
  </si>
  <si>
    <t>VERDICT THRESHOLDS</t>
  </si>
  <si>
    <t>Test</t>
  </si>
  <si>
    <t>Value</t>
  </si>
  <si>
    <t>Effect</t>
  </si>
  <si>
    <t>GO — minimum weighted score</t>
  </si>
  <si>
    <t>At or above this the deal is a GO.</t>
  </si>
  <si>
    <t>WATCH — minimum weighted score</t>
  </si>
  <si>
    <t>Below GO but at or above this is a watchlist deal.</t>
  </si>
  <si>
    <t>Maximum unknown share</t>
  </si>
  <si>
    <t>Above this the verdict is INCOMPLETE regardless of score.</t>
  </si>
  <si>
    <t>Knockout override</t>
  </si>
  <si>
    <t>Active</t>
  </si>
  <si>
    <t>Any 'No' on a KO-flagged criterion forces NO-GO.</t>
  </si>
  <si>
    <t>TARGET YIELD ON COST — COMPONENT BLEND</t>
  </si>
  <si>
    <t>Component</t>
  </si>
  <si>
    <t>Target YoC</t>
  </si>
  <si>
    <t>Retail</t>
  </si>
  <si>
    <t>TDC underwriting standard.</t>
  </si>
  <si>
    <t>Office</t>
  </si>
  <si>
    <t>Multifamily</t>
  </si>
  <si>
    <t>Cost load on incremental land</t>
  </si>
  <si>
    <t>Financing and contingency carried on incremental land at 65% LTC.</t>
  </si>
  <si>
    <t>LAND VALUE CONVENTIONS — WHAT WE BUILD</t>
  </si>
  <si>
    <t>Rate</t>
  </si>
  <si>
    <t>Note</t>
  </si>
  <si>
    <t>per SF</t>
  </si>
  <si>
    <t>TDC land value convention.</t>
  </si>
  <si>
    <t>per unit</t>
  </si>
  <si>
    <t>PAD SALE RATES — WHAT WE SELL</t>
  </si>
  <si>
    <t>Parcel</t>
  </si>
  <si>
    <t>Hotel pad</t>
  </si>
  <si>
    <t>per key</t>
  </si>
  <si>
    <t>Sold, not built. Proceeds reduce land basis.</t>
  </si>
  <si>
    <t>Townhome pad</t>
  </si>
  <si>
    <t>per lot</t>
  </si>
  <si>
    <t>Other / outparcel</t>
  </si>
  <si>
    <t>per parcel</t>
  </si>
  <si>
    <t>PRODUCT TYPE CLASSIFICATION</t>
  </si>
  <si>
    <t>Max retail share of NOI for Multifamily product</t>
  </si>
  <si>
    <t>At or below this the deal tests as Multifamily. Above it, Mixed-Use.</t>
  </si>
  <si>
    <t>DEMOGRAPHICS DASHBOARD BANDS</t>
  </si>
  <si>
    <t>Product type</t>
  </si>
  <si>
    <t>GO at or above</t>
  </si>
  <si>
    <t>NO-GO at or below</t>
  </si>
  <si>
    <t>Watch band</t>
  </si>
  <si>
    <t>Mixed-Use</t>
  </si>
  <si>
    <t>51 – 79</t>
  </si>
  <si>
    <t>41 – 69</t>
  </si>
  <si>
    <t>Source — TDC Demographics Dashboard. ACS 2018–2022 five-year, block group, area-weighted interpolation, three-mile radius default.</t>
  </si>
  <si>
    <t>Demographics</t>
  </si>
  <si>
    <t>SCORES CARRIED OVER FROM THE DASHBOARD</t>
  </si>
  <si>
    <t>SITE &amp; SCORES</t>
  </si>
  <si>
    <t>Address run</t>
  </si>
  <si>
    <t>As entered in the dashboard.</t>
  </si>
  <si>
    <t>Radius</t>
  </si>
  <si>
    <t>3 mi</t>
  </si>
  <si>
    <t>Three miles unless there is a reason to change it.</t>
  </si>
  <si>
    <t>Date pulled</t>
  </si>
  <si>
    <t>Mixed-Use score</t>
  </si>
  <si>
    <t>From the dashboard. GO ≥ 80, NO-GO ≤ 50.</t>
  </si>
  <si>
    <t>Multifamily score</t>
  </si>
  <si>
    <t>From the dashboard. GO ≥ 70, NO-GO ≤ 40.</t>
  </si>
  <si>
    <t>GOVERNING SCORE</t>
  </si>
  <si>
    <t>Product type — from Deal Screen</t>
  </si>
  <si>
    <t>Governing score</t>
  </si>
  <si>
    <t>GO threshold</t>
  </si>
  <si>
    <t>NO-GO threshold</t>
  </si>
  <si>
    <t>DEMOGRAPHIC BAND</t>
  </si>
  <si>
    <t>CALIBRATION REFERENCE</t>
  </si>
  <si>
    <t>Site</t>
  </si>
  <si>
    <t>3-mi population</t>
  </si>
  <si>
    <t>Avalon — Alpharetta, GA</t>
  </si>
  <si>
    <t>70.5K</t>
  </si>
  <si>
    <t>Carmel, IN</t>
  </si>
  <si>
    <t>59.9K</t>
  </si>
  <si>
    <t>Medley — Johns Creek, GA</t>
  </si>
  <si>
    <t>56.6K</t>
  </si>
  <si>
    <t>Overlook — Cumming, GA</t>
  </si>
  <si>
    <t>35.2K</t>
  </si>
  <si>
    <t>Overlook scored 16 Mixed-Use and 55 Multifamily. The dashboard ruled out mixed-use on that site; TDC delivered 301 units of multifamily.</t>
  </si>
  <si>
    <t>REFERENCE — DASHBOARD WEIGHTING (NO INPUT REQUIRED)</t>
  </si>
  <si>
    <t>Metric</t>
  </si>
  <si>
    <t>Mixed-Use wt</t>
  </si>
  <si>
    <t>Multifamily wt</t>
  </si>
  <si>
    <t>Average HH Income</t>
  </si>
  <si>
    <t>Floor metric, both types</t>
  </si>
  <si>
    <t>Bachelor's+</t>
  </si>
  <si>
    <t>Floor metric, Mixed-Use</t>
  </si>
  <si>
    <t>Total Population</t>
  </si>
  <si>
    <t>Discretionary Spend</t>
  </si>
  <si>
    <t>HH Formation</t>
  </si>
  <si>
    <t>—</t>
  </si>
  <si>
    <t>Mixed-Use only</t>
  </si>
  <si>
    <t>Young Adult Share</t>
  </si>
  <si>
    <t>Rent-to-Income</t>
  </si>
  <si>
    <t>Multifamily only</t>
  </si>
  <si>
    <t>Prime Renter Age (30–44)</t>
  </si>
  <si>
    <t>Migration Signal</t>
  </si>
  <si>
    <t>Mixed-Use raw scores carry a constant 1.19x scale multiplier in the dashboard. Gate multipliers apply when a floor metric falls below its soft floor.</t>
  </si>
  <si>
    <t>Deal Screen</t>
  </si>
  <si>
    <t>WEIGHTED SCORING AND GO / NO-GO VERDICT</t>
  </si>
  <si>
    <t>DEAL INFORMATION</t>
  </si>
  <si>
    <t>SCREEN RESULT</t>
  </si>
  <si>
    <t>Deal name</t>
  </si>
  <si>
    <t>Weighted screen score</t>
  </si>
  <si>
    <t>Address / location</t>
  </si>
  <si>
    <t>Criteria answered (of 17)</t>
  </si>
  <si>
    <t>Submarket</t>
  </si>
  <si>
    <t>Unknown share</t>
  </si>
  <si>
    <t>Knockout check</t>
  </si>
  <si>
    <t>Screen date</t>
  </si>
  <si>
    <t>Demographic band</t>
  </si>
  <si>
    <t>Prepared by</t>
  </si>
  <si>
    <t>SCREEN VERDICT</t>
  </si>
  <si>
    <t>Criterion</t>
  </si>
  <si>
    <t>Pts</t>
  </si>
  <si>
    <t>Wt</t>
  </si>
  <si>
    <t>Score</t>
  </si>
  <si>
    <t>KO</t>
  </si>
  <si>
    <t>What it tests</t>
  </si>
  <si>
    <t>Carried from the Demographics tab.</t>
  </si>
  <si>
    <t>Geography</t>
  </si>
  <si>
    <t>Drive time from Alpharetta. Platform reach.</t>
  </si>
  <si>
    <t>Market</t>
  </si>
  <si>
    <t>Absorption, rent growth and supply pipeline by component.</t>
  </si>
  <si>
    <t>Location</t>
  </si>
  <si>
    <t>Intersection, visibility, traffic, demand generators.</t>
  </si>
  <si>
    <t>Barriers to Entry</t>
  </si>
  <si>
    <t>Can this be replicated a mile away within 24 months?</t>
  </si>
  <si>
    <t>Entitlements</t>
  </si>
  <si>
    <t>Zoning gap, jurisdiction posture, months to approval.</t>
  </si>
  <si>
    <t>Competition</t>
  </si>
  <si>
    <t>Existing plus announced pipeline.</t>
  </si>
  <si>
    <t>Physical</t>
  </si>
  <si>
    <t>Topo, wetlands, Phase I, utilities, access, assemblage.</t>
  </si>
  <si>
    <t>Seller Sophistication</t>
  </si>
  <si>
    <t>Cuts both ways — clean process versus fully priced.</t>
  </si>
  <si>
    <t>Control</t>
  </si>
  <si>
    <t>DD period, extensions, soft deposit through entitlement.</t>
  </si>
  <si>
    <t>Market viability of all products</t>
  </si>
  <si>
    <t>Every component must clear independently.</t>
  </si>
  <si>
    <t>Partner Quality</t>
  </si>
  <si>
    <t>JV equity, co-developer or municipal partner.</t>
  </si>
  <si>
    <t>Pursuit costs</t>
  </si>
  <si>
    <t>Cash to a real go / no-go, and dead-deal exposure.</t>
  </si>
  <si>
    <t>Timing</t>
  </si>
  <si>
    <t>Capital markets window, delivery against competing supply.</t>
  </si>
  <si>
    <t>A multiplier on the total, not a scored criterion.</t>
  </si>
  <si>
    <t>Brand fit</t>
  </si>
  <si>
    <t>Placemaking at community scale, or anyone's deal?</t>
  </si>
  <si>
    <t>Capability</t>
  </si>
  <si>
    <t>In-house experience with this product and structure.</t>
  </si>
  <si>
    <t>Capacity</t>
  </si>
  <si>
    <t>Medley through opening; Overlook delivering Fall 2027.</t>
  </si>
  <si>
    <t>Fee Potential</t>
  </si>
  <si>
    <t>Development fee, co-invest and promote.</t>
  </si>
  <si>
    <t>DETAIL</t>
  </si>
  <si>
    <t>Unknowns</t>
  </si>
  <si>
    <t>Probability-weighted score</t>
  </si>
  <si>
    <t>Land test — First Look UW</t>
  </si>
  <si>
    <t>Any 'No' on a KO-flagged criterion, or a NO-GO demographic band, forces NO-GO. Above the unknown ceiling the verdict is INCOMPLETE rather than score-driven.</t>
  </si>
  <si>
    <t>First Look Underwriting</t>
  </si>
  <si>
    <t>THE MOST WE CAN PAY FOR THE LAND</t>
  </si>
  <si>
    <t>Works backward. Each component's NOI and target yield imply a total cost we can carry. Subtract everything that isn't land, add back what we sell off, and what's left is the land price.</t>
  </si>
  <si>
    <t>STEP 1 — WHAT THE INCOME SUPPORTS</t>
  </si>
  <si>
    <t>Stabilized NOI</t>
  </si>
  <si>
    <t>Cost excl. land</t>
  </si>
  <si>
    <t>Total cost supported</t>
  </si>
  <si>
    <t>All phases combined.</t>
  </si>
  <si>
    <t>Blended hurdle implied by this component mix.</t>
  </si>
  <si>
    <t>STEP 2 — PARCELS WE SELL RATHER THAN BUILD</t>
  </si>
  <si>
    <t>Quantity</t>
  </si>
  <si>
    <t>Proceeds</t>
  </si>
  <si>
    <t>Hotel pad (keys)</t>
  </si>
  <si>
    <t>Proceeds reduce our land basis.</t>
  </si>
  <si>
    <t>Townhome pad (lots)</t>
  </si>
  <si>
    <t>Total pad sale proceeds</t>
  </si>
  <si>
    <t>STEP 3 — THE MOST WE CAN PAY FOR THE LAND</t>
  </si>
  <si>
    <t>Total cost the income supports</t>
  </si>
  <si>
    <t>Less: everything except land</t>
  </si>
  <si>
    <t>Hard costs, soft costs, contingency, financing.</t>
  </si>
  <si>
    <t>Plus: pad sale proceeds</t>
  </si>
  <si>
    <t>Recovered basis from parcels we sell.</t>
  </si>
  <si>
    <t>Land value before carry</t>
  </si>
  <si>
    <t>Less: financing &amp; contingency on land</t>
  </si>
  <si>
    <t>Incremental land is levered too.</t>
  </si>
  <si>
    <t>Maximum land price</t>
  </si>
  <si>
    <t>The number to negotiate against.</t>
  </si>
  <si>
    <t>STEP 4 — AGAINST THE ASKING PRICE</t>
  </si>
  <si>
    <t>Asking price / land basis</t>
  </si>
  <si>
    <t>What the seller wants, or the basis in the model.</t>
  </si>
  <si>
    <t>Headroom / (shortfall)</t>
  </si>
  <si>
    <t>Headroom as % of ask</t>
  </si>
  <si>
    <t>Site acreage</t>
  </si>
  <si>
    <t>Needed for the per-acre check.</t>
  </si>
  <si>
    <t>Maximum land price per acre</t>
  </si>
  <si>
    <t>LAND TEST</t>
  </si>
  <si>
    <t>SANITY CHECKS</t>
  </si>
  <si>
    <t>TDC rate</t>
  </si>
  <si>
    <t>Land at TDC rates</t>
  </si>
  <si>
    <t>Retail (SF)</t>
  </si>
  <si>
    <t>What we would normally pay for this component.</t>
  </si>
  <si>
    <t>Office (SF)</t>
  </si>
  <si>
    <t>Multifamily (units)</t>
  </si>
  <si>
    <t>Land at TDC standard rates</t>
  </si>
  <si>
    <t>Maximum land price vs. TDC rates</t>
  </si>
  <si>
    <t>A large gap either way is worth explaining before pursuing.</t>
  </si>
  <si>
    <t>Retail share of NOI</t>
  </si>
  <si>
    <t>At or below 15% this tests as Multifamily product.</t>
  </si>
  <si>
    <t>Product type test suggests</t>
  </si>
  <si>
    <t>Set the governing product type on the Deal Screen.</t>
  </si>
  <si>
    <t>SENSITIVITY — MAXIMUM LAND PRICE</t>
  </si>
  <si>
    <t>Commercial target yield across the top. Multifamily target yield down the side.</t>
  </si>
  <si>
    <t>MF \ Comm</t>
  </si>
  <si>
    <t>Pipeline Summary</t>
  </si>
  <si>
    <t>ONE ROW PER SCREENED DEAL</t>
  </si>
  <si>
    <t>Hidden by default. The first row links live to the Deal Screen; paste values into a new row as each deal is completed.</t>
  </si>
  <si>
    <t>Deal</t>
  </si>
  <si>
    <t>Demo score</t>
  </si>
  <si>
    <t>Screen score</t>
  </si>
  <si>
    <t>Prob.</t>
  </si>
  <si>
    <t>Prob-wtd</t>
  </si>
  <si>
    <t>Max land price</t>
  </si>
  <si>
    <t>Asking price</t>
  </si>
  <si>
    <t>Verdict</t>
  </si>
  <si>
    <t>Medley</t>
  </si>
  <si>
    <t>Johns Creek</t>
  </si>
  <si>
    <t>Built</t>
  </si>
  <si>
    <t>Overlook at Cumming City Center</t>
  </si>
  <si>
    <t>Forsyth</t>
  </si>
  <si>
    <t>Avalon</t>
  </si>
  <si>
    <t>Alpharetta</t>
  </si>
  <si>
    <t>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</si>
</sst>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;&quot;($&quot;#,##0\);\—"/>
    <numFmt numFmtId="166" formatCode="#,##0.0"/>
    <numFmt numFmtId="167" formatCode="0.0"/>
  </numFmts>
  <fonts count="19" x14ac:knownFonts="1">
    <font>
      <sz val="11"/>
      <color theme="1"/>
      <name val="Calibri"/>
      <family val="2"/>
      <charset val="1"/>
    </font>
    <font>
      <sz val="12"/>
      <color rgb="FF2B2B2B"/>
      <name val="Calibri"/>
      <charset val="1"/>
    </font>
    <font>
      <b/>
      <sz val="8"/>
      <color rgb="FFC7202E"/>
      <name val="Calibri"/>
      <charset val="1"/>
    </font>
    <font>
      <b/>
      <sz val="8.5"/>
      <color rgb="FFFFFFFF"/>
      <name val="Calibri"/>
      <charset val="1"/>
    </font>
    <font>
      <b/>
      <sz val="10"/>
      <color rgb="FF2B2B2B"/>
      <name val="Calibri"/>
      <charset val="1"/>
    </font>
    <font>
      <sz val="9.5"/>
      <color rgb="FF2B2B2B"/>
      <name val="Calibri"/>
      <charset val="1"/>
    </font>
    <font>
      <b/>
      <sz val="8.5"/>
      <color rgb="FF2B2B2B"/>
      <name val="Calibri"/>
      <charset val="1"/>
    </font>
    <font>
      <sz val="10"/>
      <color rgb="FF2B2B2B"/>
      <name val="Calibri"/>
      <charset val="1"/>
    </font>
    <font>
      <sz val="10"/>
      <color rgb="FF0000CC"/>
      <name val="Calibri"/>
      <charset val="1"/>
    </font>
    <font>
      <sz val="8.5"/>
      <color rgb="FF6E6E6E"/>
      <name val="Calibri"/>
      <charset val="1"/>
    </font>
    <font>
      <sz val="9"/>
      <color rgb="FF6E6E6E"/>
      <name val="Calibri"/>
      <charset val="1"/>
    </font>
    <font>
      <i/>
      <sz val="8.5"/>
      <color rgb="FF6E6E6E"/>
      <name val="Calibri"/>
      <charset val="1"/>
    </font>
    <font>
      <b/>
      <sz val="9"/>
      <color rgb="FFFFFFFF"/>
      <name val="Calibri"/>
      <charset val="1"/>
    </font>
    <font>
      <b/>
      <sz val="11"/>
      <color rgb="FF2B2B2B"/>
      <name val="Calibri"/>
      <charset val="1"/>
    </font>
    <font>
      <b/>
      <sz val="12"/>
      <color rgb="FF2B2B2B"/>
      <name val="Calibri"/>
      <charset val="1"/>
    </font>
    <font>
      <b/>
      <sz val="9"/>
      <color rgb="FFC7202E"/>
      <name val="Calibri"/>
      <charset val="1"/>
    </font>
    <font>
      <b/>
      <sz val="8.5"/>
      <color rgb="FFC7202E"/>
      <name val="Calibri"/>
      <charset val="1"/>
    </font>
    <font>
      <i/>
      <sz val="10"/>
      <color rgb="FF2B2B2B"/>
      <name val="Calibri"/>
      <charset val="1"/>
    </font>
    <font>
      <i/>
      <sz val="9"/>
      <color rgb="FF6E6E6E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C7202E"/>
        <bgColor rgb="FF993366"/>
      </patternFill>
    </fill>
    <fill>
      <patternFill patternType="solid">
        <fgColor rgb="FF2B2B2B"/>
        <bgColor rgb="FF333300"/>
      </patternFill>
    </fill>
    <fill>
      <patternFill patternType="solid">
        <fgColor rgb="FFEDEDED"/>
        <bgColor rgb="FFF2F2F2"/>
      </patternFill>
    </fill>
    <fill>
      <patternFill patternType="solid">
        <fgColor rgb="FFFFFBEF"/>
        <bgColor rgb="FFFAFAFA"/>
      </patternFill>
    </fill>
    <fill>
      <patternFill patternType="solid">
        <fgColor rgb="FFF2F2F2"/>
        <bgColor rgb="FFEDEDED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FFBEF"/>
      </patternFill>
    </fill>
  </fills>
  <borders count="3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2B2B2B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8" fillId="5" borderId="1" xfId="0" applyFont="1" applyFill="1" applyBorder="1" applyAlignment="1">
      <alignment horizontal="left" vertical="center" inden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2" borderId="0" xfId="0" applyFill="1"/>
    <xf numFmtId="0" fontId="3" fillId="3" borderId="0" xfId="0" applyFont="1" applyFill="1" applyAlignment="1">
      <alignment horizontal="left" vertical="center" indent="1"/>
    </xf>
    <xf numFmtId="0" fontId="0" fillId="3" borderId="0" xfId="0" applyFill="1"/>
    <xf numFmtId="0" fontId="4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wrapText="1" indent="1"/>
    </xf>
    <xf numFmtId="0" fontId="6" fillId="4" borderId="2" xfId="0" applyFont="1" applyFill="1" applyBorder="1" applyAlignment="1">
      <alignment horizontal="left" vertical="center" wrapText="1" indent="1"/>
    </xf>
    <xf numFmtId="0" fontId="6" fillId="4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indent="1"/>
    </xf>
    <xf numFmtId="164" fontId="8" fillId="5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9" fillId="0" borderId="1" xfId="0" applyFont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164" fontId="4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/>
    <xf numFmtId="3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0" fontId="8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/>
    <xf numFmtId="0" fontId="8" fillId="5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center" indent="1"/>
    </xf>
    <xf numFmtId="0" fontId="13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indent="1"/>
    </xf>
    <xf numFmtId="0" fontId="7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 indent="1"/>
    </xf>
    <xf numFmtId="166" fontId="4" fillId="6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 indent="1"/>
    </xf>
    <xf numFmtId="0" fontId="0" fillId="4" borderId="1" xfId="0" applyFill="1" applyBorder="1"/>
    <xf numFmtId="0" fontId="7" fillId="0" borderId="1" xfId="0" applyFont="1" applyBorder="1" applyAlignment="1">
      <alignment horizontal="left" vertical="center" indent="2"/>
    </xf>
    <xf numFmtId="167" fontId="7" fillId="6" borderId="1" xfId="0" applyNumberFormat="1" applyFont="1" applyFill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indent="2"/>
    </xf>
    <xf numFmtId="166" fontId="7" fillId="6" borderId="1" xfId="0" applyNumberFormat="1" applyFont="1" applyFill="1" applyBorder="1" applyAlignment="1">
      <alignment horizontal="center" vertical="center"/>
    </xf>
    <xf numFmtId="0" fontId="18" fillId="0" borderId="0" xfId="0" applyFont="1"/>
    <xf numFmtId="10" fontId="7" fillId="6" borderId="1" xfId="0" applyNumberFormat="1" applyFont="1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indent="1"/>
    </xf>
    <xf numFmtId="165" fontId="7" fillId="6" borderId="1" xfId="0" applyNumberFormat="1" applyFont="1" applyFill="1" applyBorder="1" applyAlignment="1">
      <alignment horizontal="center" vertical="center"/>
    </xf>
    <xf numFmtId="165" fontId="13" fillId="6" borderId="1" xfId="0" applyNumberFormat="1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0" fontId="6" fillId="4" borderId="2" xfId="0" applyNumberFormat="1" applyFont="1" applyFill="1" applyBorder="1" applyAlignment="1">
      <alignment horizontal="center" vertical="center"/>
    </xf>
    <xf numFmtId="10" fontId="6" fillId="4" borderId="1" xfId="0" applyNumberFormat="1" applyFont="1" applyFill="1" applyBorder="1" applyAlignment="1">
      <alignment horizontal="center" vertical="center"/>
    </xf>
    <xf numFmtId="165" fontId="7" fillId="8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3" fontId="7" fillId="8" borderId="1" xfId="0" applyNumberFormat="1" applyFont="1" applyFill="1" applyBorder="1" applyAlignment="1">
      <alignment horizontal="center" vertical="center"/>
    </xf>
    <xf numFmtId="166" fontId="7" fillId="8" borderId="1" xfId="0" applyNumberFormat="1" applyFont="1" applyFill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41">
    <dxf>
      <font>
        <b/>
        <sz val="10"/>
        <color rgb="FFFFFFFF"/>
        <name val="Calibri"/>
        <charset val="1"/>
      </font>
      <fill>
        <patternFill>
          <bgColor rgb="FFC7202E"/>
        </patternFill>
      </fill>
    </dxf>
    <dxf>
      <font>
        <b/>
        <sz val="10"/>
        <color rgb="FFFFFFFF"/>
        <name val="Calibri"/>
        <charset val="1"/>
      </font>
      <fill>
        <patternFill>
          <bgColor rgb="FF1E7B45"/>
        </patternFill>
      </fill>
    </dxf>
    <dxf>
      <font>
        <b/>
        <sz val="10"/>
        <color rgb="FFFFFFFF"/>
        <name val="Calibri"/>
        <charset val="1"/>
      </font>
      <fill>
        <patternFill>
          <bgColor rgb="FF9E9E9E"/>
        </patternFill>
      </fill>
    </dxf>
    <dxf>
      <font>
        <b/>
        <sz val="10"/>
        <color rgb="FFFFFFFF"/>
        <name val="Calibri"/>
        <charset val="1"/>
      </font>
      <fill>
        <patternFill>
          <bgColor rgb="FF9E9E9E"/>
        </patternFill>
      </fill>
    </dxf>
    <dxf>
      <font>
        <b/>
        <sz val="10"/>
        <color rgb="FFFFFFFF"/>
        <name val="Calibri"/>
        <charset val="1"/>
      </font>
      <fill>
        <patternFill>
          <bgColor rgb="FFC7202E"/>
        </patternFill>
      </fill>
    </dxf>
    <dxf>
      <font>
        <b/>
        <sz val="10"/>
        <color rgb="FFFFFFFF"/>
        <name val="Calibri"/>
        <charset val="1"/>
      </font>
      <fill>
        <patternFill>
          <bgColor rgb="FFC98A00"/>
        </patternFill>
      </fill>
    </dxf>
    <dxf>
      <font>
        <b/>
        <sz val="10"/>
        <color rgb="FFFFFFFF"/>
        <name val="Calibri"/>
        <charset val="1"/>
      </font>
      <fill>
        <patternFill>
          <bgColor rgb="FF1E7B45"/>
        </patternFill>
      </fill>
    </dxf>
    <dxf>
      <font>
        <b/>
        <sz val="11"/>
        <color rgb="FFFFFFFF"/>
        <name val="Calibri"/>
        <charset val="1"/>
      </font>
      <fill>
        <patternFill>
          <bgColor rgb="FFC7202E"/>
        </patternFill>
      </fill>
    </dxf>
    <dxf>
      <font>
        <b/>
        <sz val="11"/>
        <color rgb="FFFFFFFF"/>
        <name val="Calibri"/>
        <charset val="1"/>
      </font>
      <fill>
        <patternFill>
          <bgColor rgb="FF1E7B45"/>
        </patternFill>
      </fill>
    </dxf>
    <dxf>
      <font>
        <b/>
        <sz val="11"/>
        <color rgb="FFFFFFFF"/>
        <name val="Calibri"/>
        <charset val="1"/>
      </font>
      <fill>
        <patternFill>
          <bgColor rgb="FF9E9E9E"/>
        </patternFill>
      </fill>
    </dxf>
    <dxf>
      <font>
        <b/>
        <sz val="11"/>
        <color rgb="FFFFFFFF"/>
        <name val="Calibri"/>
        <charset val="1"/>
      </font>
      <fill>
        <patternFill>
          <bgColor rgb="FF9E9E9E"/>
        </patternFill>
      </fill>
    </dxf>
    <dxf>
      <font>
        <b/>
        <sz val="11"/>
        <color rgb="FFFFFFFF"/>
        <name val="Calibri"/>
        <charset val="1"/>
      </font>
      <fill>
        <patternFill>
          <bgColor rgb="FFC7202E"/>
        </patternFill>
      </fill>
    </dxf>
    <dxf>
      <font>
        <b/>
        <sz val="11"/>
        <color rgb="FFFFFFFF"/>
        <name val="Calibri"/>
        <charset val="1"/>
      </font>
      <fill>
        <patternFill>
          <bgColor rgb="FFC98A00"/>
        </patternFill>
      </fill>
    </dxf>
    <dxf>
      <font>
        <b/>
        <sz val="11"/>
        <color rgb="FFFFFFFF"/>
        <name val="Calibri"/>
        <charset val="1"/>
      </font>
      <fill>
        <patternFill>
          <bgColor rgb="FF1E7B45"/>
        </patternFill>
      </fill>
    </dxf>
    <dxf>
      <font>
        <b/>
        <sz val="12"/>
        <color rgb="FFFFFFFF"/>
        <name val="Calibri"/>
        <charset val="1"/>
      </font>
      <fill>
        <patternFill>
          <bgColor rgb="FFC7202E"/>
        </patternFill>
      </fill>
    </dxf>
    <dxf>
      <font>
        <b/>
        <sz val="12"/>
        <color rgb="FFFFFFFF"/>
        <name val="Calibri"/>
        <charset val="1"/>
      </font>
      <fill>
        <patternFill>
          <bgColor rgb="FF1E7B45"/>
        </patternFill>
      </fill>
    </dxf>
    <dxf>
      <font>
        <b/>
        <sz val="12"/>
        <color rgb="FFFFFFFF"/>
        <name val="Calibri"/>
        <charset val="1"/>
      </font>
      <fill>
        <patternFill>
          <bgColor rgb="FF9E9E9E"/>
        </patternFill>
      </fill>
    </dxf>
    <dxf>
      <font>
        <b/>
        <sz val="12"/>
        <color rgb="FFFFFFFF"/>
        <name val="Calibri"/>
        <charset val="1"/>
      </font>
      <fill>
        <patternFill>
          <bgColor rgb="FF9E9E9E"/>
        </patternFill>
      </fill>
    </dxf>
    <dxf>
      <font>
        <b/>
        <sz val="12"/>
        <color rgb="FFFFFFFF"/>
        <name val="Calibri"/>
        <charset val="1"/>
      </font>
      <fill>
        <patternFill>
          <bgColor rgb="FFC7202E"/>
        </patternFill>
      </fill>
    </dxf>
    <dxf>
      <font>
        <b/>
        <sz val="12"/>
        <color rgb="FFFFFFFF"/>
        <name val="Calibri"/>
        <charset val="1"/>
      </font>
      <fill>
        <patternFill>
          <bgColor rgb="FFC98A00"/>
        </patternFill>
      </fill>
    </dxf>
    <dxf>
      <font>
        <b/>
        <sz val="12"/>
        <color rgb="FFFFFFFF"/>
        <name val="Calibri"/>
        <charset val="1"/>
      </font>
      <fill>
        <patternFill>
          <bgColor rgb="FF1E7B45"/>
        </patternFill>
      </fill>
    </dxf>
    <dxf>
      <font>
        <b/>
        <sz val="10"/>
        <color rgb="FFFFFFFF"/>
        <name val="Calibri"/>
        <charset val="1"/>
      </font>
      <fill>
        <patternFill>
          <bgColor rgb="FFC7202E"/>
        </patternFill>
      </fill>
    </dxf>
    <dxf>
      <font>
        <b/>
        <sz val="10"/>
        <color rgb="FFFFFFFF"/>
        <name val="Calibri"/>
        <charset val="1"/>
      </font>
      <fill>
        <patternFill>
          <bgColor rgb="FF1E7B45"/>
        </patternFill>
      </fill>
    </dxf>
    <dxf>
      <font>
        <b/>
        <sz val="10"/>
        <color rgb="FFFFFFFF"/>
        <name val="Calibri"/>
        <charset val="1"/>
      </font>
      <fill>
        <patternFill>
          <bgColor rgb="FF9E9E9E"/>
        </patternFill>
      </fill>
    </dxf>
    <dxf>
      <font>
        <b/>
        <sz val="10"/>
        <color rgb="FFFFFFFF"/>
        <name val="Calibri"/>
        <charset val="1"/>
      </font>
      <fill>
        <patternFill>
          <bgColor rgb="FF9E9E9E"/>
        </patternFill>
      </fill>
    </dxf>
    <dxf>
      <font>
        <b/>
        <sz val="10"/>
        <color rgb="FFFFFFFF"/>
        <name val="Calibri"/>
        <charset val="1"/>
      </font>
      <fill>
        <patternFill>
          <bgColor rgb="FFC7202E"/>
        </patternFill>
      </fill>
    </dxf>
    <dxf>
      <font>
        <b/>
        <sz val="10"/>
        <color rgb="FFFFFFFF"/>
        <name val="Calibri"/>
        <charset val="1"/>
      </font>
      <fill>
        <patternFill>
          <bgColor rgb="FFC98A00"/>
        </patternFill>
      </fill>
    </dxf>
    <dxf>
      <font>
        <b/>
        <sz val="10"/>
        <color rgb="FFFFFFFF"/>
        <name val="Calibri"/>
        <charset val="1"/>
      </font>
      <fill>
        <patternFill>
          <bgColor rgb="FF1E7B45"/>
        </patternFill>
      </fill>
    </dxf>
    <dxf>
      <font>
        <b/>
        <sz val="10"/>
        <color rgb="FFC7202E"/>
        <name val="Calibri"/>
        <charset val="1"/>
      </font>
      <fill>
        <patternFill>
          <bgColor rgb="FFF8E3E5"/>
        </patternFill>
      </fill>
    </dxf>
    <dxf>
      <font>
        <b/>
        <sz val="10"/>
        <color rgb="FFC98A00"/>
        <name val="Calibri"/>
        <charset val="1"/>
      </font>
      <fill>
        <patternFill>
          <bgColor rgb="FFFBF2DC"/>
        </patternFill>
      </fill>
    </dxf>
    <dxf>
      <font>
        <b/>
        <sz val="10"/>
        <color rgb="FF1E7B45"/>
        <name val="Calibri"/>
        <charset val="1"/>
      </font>
      <fill>
        <patternFill>
          <bgColor rgb="FFE3F1E7"/>
        </patternFill>
      </fill>
    </dxf>
    <dxf>
      <font>
        <b/>
        <sz val="10"/>
        <color rgb="FFC7202E"/>
        <name val="Calibri"/>
        <charset val="1"/>
      </font>
      <fill>
        <patternFill>
          <bgColor rgb="FFF8E3E5"/>
        </patternFill>
      </fill>
    </dxf>
    <dxf>
      <font>
        <b/>
        <sz val="10"/>
        <color rgb="FFC98A00"/>
        <name val="Calibri"/>
        <charset val="1"/>
      </font>
      <fill>
        <patternFill>
          <bgColor rgb="FFFBF2DC"/>
        </patternFill>
      </fill>
    </dxf>
    <dxf>
      <font>
        <b/>
        <sz val="10"/>
        <color rgb="FF1E7B45"/>
        <name val="Calibri"/>
        <charset val="1"/>
      </font>
      <fill>
        <patternFill>
          <bgColor rgb="FFE3F1E7"/>
        </patternFill>
      </fill>
    </dxf>
    <dxf>
      <font>
        <b/>
        <sz val="11"/>
        <color rgb="FFFFFFFF"/>
        <name val="Calibri"/>
        <charset val="1"/>
      </font>
      <fill>
        <patternFill>
          <bgColor rgb="FFC7202E"/>
        </patternFill>
      </fill>
    </dxf>
    <dxf>
      <font>
        <b/>
        <sz val="11"/>
        <color rgb="FFFFFFFF"/>
        <name val="Calibri"/>
        <charset val="1"/>
      </font>
      <fill>
        <patternFill>
          <bgColor rgb="FF1E7B45"/>
        </patternFill>
      </fill>
    </dxf>
    <dxf>
      <font>
        <b/>
        <sz val="11"/>
        <color rgb="FFFFFFFF"/>
        <name val="Calibri"/>
        <charset val="1"/>
      </font>
      <fill>
        <patternFill>
          <bgColor rgb="FF9E9E9E"/>
        </patternFill>
      </fill>
    </dxf>
    <dxf>
      <font>
        <b/>
        <sz val="11"/>
        <color rgb="FFFFFFFF"/>
        <name val="Calibri"/>
        <charset val="1"/>
      </font>
      <fill>
        <patternFill>
          <bgColor rgb="FF9E9E9E"/>
        </patternFill>
      </fill>
    </dxf>
    <dxf>
      <font>
        <b/>
        <sz val="11"/>
        <color rgb="FFFFFFFF"/>
        <name val="Calibri"/>
        <charset val="1"/>
      </font>
      <fill>
        <patternFill>
          <bgColor rgb="FFC7202E"/>
        </patternFill>
      </fill>
    </dxf>
    <dxf>
      <font>
        <b/>
        <sz val="11"/>
        <color rgb="FFFFFFFF"/>
        <name val="Calibri"/>
        <charset val="1"/>
      </font>
      <fill>
        <patternFill>
          <bgColor rgb="FFC98A00"/>
        </patternFill>
      </fill>
    </dxf>
    <dxf>
      <font>
        <b/>
        <sz val="11"/>
        <color rgb="FFFFFFFF"/>
        <name val="Calibri"/>
        <charset val="1"/>
      </font>
      <fill>
        <patternFill>
          <bgColor rgb="FF1E7B4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B45"/>
      <rgbColor rgb="FFFAFAFA"/>
      <rgbColor rgb="FF808080"/>
      <rgbColor rgb="FF9999FF"/>
      <rgbColor rgb="FF993366"/>
      <rgbColor rgb="FFFBF2DC"/>
      <rgbColor rgb="FFE3F1E7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BEF"/>
      <rgbColor rgb="FF99CCFF"/>
      <rgbColor rgb="FFFF99CC"/>
      <rgbColor rgb="FFCC99FF"/>
      <rgbColor rgb="FFF8E3E5"/>
      <rgbColor rgb="FF3366FF"/>
      <rgbColor rgb="FF33CCCC"/>
      <rgbColor rgb="FF99CC00"/>
      <rgbColor rgb="FFFFCC00"/>
      <rgbColor rgb="FFC98A00"/>
      <rgbColor rgb="FFFF6600"/>
      <rgbColor rgb="FF6E6E6E"/>
      <rgbColor rgb="FF9E9E9E"/>
      <rgbColor rgb="FF003366"/>
      <rgbColor rgb="FF339966"/>
      <rgbColor rgb="FF003300"/>
      <rgbColor rgb="FF333300"/>
      <rgbColor rgb="FFC7202E"/>
      <rgbColor rgb="FF993366"/>
      <rgbColor rgb="FF333399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604335</xdr:colOff>
      <xdr:row>1</xdr:row>
      <xdr:rowOff>123555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80975" y="66675"/>
          <a:ext cx="585285" cy="285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66675</xdr:rowOff>
    </xdr:from>
    <xdr:to>
      <xdr:col>1</xdr:col>
      <xdr:colOff>575760</xdr:colOff>
      <xdr:row>1</xdr:row>
      <xdr:rowOff>123555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400" y="66675"/>
          <a:ext cx="585285" cy="285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66675</xdr:rowOff>
    </xdr:from>
    <xdr:to>
      <xdr:col>1</xdr:col>
      <xdr:colOff>566235</xdr:colOff>
      <xdr:row>1</xdr:row>
      <xdr:rowOff>123555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42875" y="66675"/>
          <a:ext cx="585285" cy="285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66675</xdr:rowOff>
    </xdr:from>
    <xdr:to>
      <xdr:col>1</xdr:col>
      <xdr:colOff>575760</xdr:colOff>
      <xdr:row>1</xdr:row>
      <xdr:rowOff>123555</xdr:rowOff>
    </xdr:to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400" y="66675"/>
          <a:ext cx="585285" cy="285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57150</xdr:rowOff>
    </xdr:from>
    <xdr:to>
      <xdr:col>1</xdr:col>
      <xdr:colOff>642435</xdr:colOff>
      <xdr:row>1</xdr:row>
      <xdr:rowOff>114030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9075" y="57150"/>
          <a:ext cx="585285" cy="285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423360</xdr:colOff>
      <xdr:row>1</xdr:row>
      <xdr:rowOff>56880</xdr:rowOff>
    </xdr:to>
    <xdr:pic>
      <xdr:nvPicPr>
        <xdr:cNvPr id="5" name="Image 1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599760" cy="285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B1:C19"/>
  <sheetViews>
    <sheetView showGridLines="0" zoomScaleNormal="100" workbookViewId="0">
      <selection activeCell="C28" sqref="C28"/>
    </sheetView>
  </sheetViews>
  <sheetFormatPr defaultColWidth="8.7109375" defaultRowHeight="15" x14ac:dyDescent="0.25"/>
  <cols>
    <col min="1" max="1" width="2.42578125" customWidth="1"/>
    <col min="2" max="2" width="28" customWidth="1"/>
    <col min="3" max="3" width="104" customWidth="1"/>
  </cols>
  <sheetData>
    <row r="1" spans="2:3" ht="18" customHeight="1" x14ac:dyDescent="0.25">
      <c r="C1" s="2" t="s">
        <v>0</v>
      </c>
    </row>
    <row r="2" spans="2:3" ht="15.75" customHeight="1" x14ac:dyDescent="0.25">
      <c r="C2" s="3" t="s">
        <v>1</v>
      </c>
    </row>
    <row r="3" spans="2:3" ht="3.75" customHeight="1" x14ac:dyDescent="0.25">
      <c r="B3" s="4"/>
      <c r="C3" s="4"/>
    </row>
    <row r="4" spans="2:3" ht="4.5" customHeight="1" x14ac:dyDescent="0.25"/>
    <row r="5" spans="2:3" ht="16.5" customHeight="1" x14ac:dyDescent="0.25">
      <c r="B5" s="5" t="s">
        <v>2</v>
      </c>
      <c r="C5" s="6"/>
    </row>
    <row r="6" spans="2:3" x14ac:dyDescent="0.25">
      <c r="B6" s="7" t="s">
        <v>3</v>
      </c>
      <c r="C6" s="8" t="s">
        <v>4</v>
      </c>
    </row>
    <row r="7" spans="2:3" x14ac:dyDescent="0.25">
      <c r="B7" s="7" t="s">
        <v>5</v>
      </c>
      <c r="C7" s="8" t="s">
        <v>6</v>
      </c>
    </row>
    <row r="8" spans="2:3" x14ac:dyDescent="0.25">
      <c r="B8" s="7" t="s">
        <v>7</v>
      </c>
      <c r="C8" s="8" t="s">
        <v>8</v>
      </c>
    </row>
    <row r="10" spans="2:3" ht="16.5" customHeight="1" x14ac:dyDescent="0.25">
      <c r="B10" s="5" t="s">
        <v>9</v>
      </c>
      <c r="C10" s="6"/>
    </row>
    <row r="11" spans="2:3" ht="37.5" customHeight="1" x14ac:dyDescent="0.25">
      <c r="B11" s="7" t="s">
        <v>10</v>
      </c>
      <c r="C11" s="9" t="s">
        <v>11</v>
      </c>
    </row>
    <row r="12" spans="2:3" ht="25.5" customHeight="1" x14ac:dyDescent="0.25">
      <c r="B12" s="7" t="s">
        <v>12</v>
      </c>
      <c r="C12" s="9" t="s">
        <v>13</v>
      </c>
    </row>
    <row r="13" spans="2:3" ht="25.5" customHeight="1" x14ac:dyDescent="0.25">
      <c r="B13" s="7" t="s">
        <v>14</v>
      </c>
      <c r="C13" s="9" t="s">
        <v>15</v>
      </c>
    </row>
    <row r="14" spans="2:3" ht="37.5" customHeight="1" x14ac:dyDescent="0.25">
      <c r="B14" s="7" t="s">
        <v>16</v>
      </c>
      <c r="C14" s="9" t="s">
        <v>17</v>
      </c>
    </row>
    <row r="15" spans="2:3" ht="25.5" customHeight="1" x14ac:dyDescent="0.25">
      <c r="B15" s="7" t="s">
        <v>18</v>
      </c>
      <c r="C15" s="9" t="s">
        <v>19</v>
      </c>
    </row>
    <row r="16" spans="2:3" ht="25.5" customHeight="1" x14ac:dyDescent="0.25">
      <c r="B16" s="7" t="s">
        <v>20</v>
      </c>
      <c r="C16" s="9" t="s">
        <v>21</v>
      </c>
    </row>
    <row r="17" spans="2:3" ht="37.5" customHeight="1" x14ac:dyDescent="0.25">
      <c r="B17" s="7" t="s">
        <v>22</v>
      </c>
      <c r="C17" s="9" t="s">
        <v>23</v>
      </c>
    </row>
    <row r="18" spans="2:3" ht="37.5" customHeight="1" x14ac:dyDescent="0.25">
      <c r="B18" s="7" t="s">
        <v>24</v>
      </c>
      <c r="C18" s="9" t="s">
        <v>25</v>
      </c>
    </row>
    <row r="19" spans="2:3" ht="25.5" customHeight="1" x14ac:dyDescent="0.25">
      <c r="B19" s="7" t="s">
        <v>26</v>
      </c>
      <c r="C19" s="9" t="s">
        <v>27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B2B2B"/>
    <pageSetUpPr fitToPage="1"/>
  </sheetPr>
  <dimension ref="B1:F54"/>
  <sheetViews>
    <sheetView showGridLines="0" tabSelected="1" zoomScaleNormal="100" workbookViewId="0"/>
  </sheetViews>
  <sheetFormatPr defaultColWidth="8.7109375" defaultRowHeight="15" x14ac:dyDescent="0.25"/>
  <cols>
    <col min="1" max="1" width="2.42578125" customWidth="1"/>
    <col min="2" max="2" width="40" customWidth="1"/>
    <col min="3" max="3" width="13" customWidth="1"/>
    <col min="4" max="4" width="12" customWidth="1"/>
    <col min="5" max="5" width="3" customWidth="1"/>
    <col min="6" max="6" width="56" customWidth="1"/>
  </cols>
  <sheetData>
    <row r="1" spans="2:6" ht="18" customHeight="1" x14ac:dyDescent="0.25">
      <c r="F1" s="2" t="s">
        <v>28</v>
      </c>
    </row>
    <row r="2" spans="2:6" ht="15.75" customHeight="1" x14ac:dyDescent="0.25">
      <c r="F2" s="3" t="s">
        <v>29</v>
      </c>
    </row>
    <row r="3" spans="2:6" ht="3.75" customHeight="1" x14ac:dyDescent="0.25">
      <c r="B3" s="4"/>
      <c r="C3" s="4"/>
      <c r="D3" s="4"/>
      <c r="E3" s="4"/>
      <c r="F3" s="4"/>
    </row>
    <row r="4" spans="2:6" ht="4.5" customHeight="1" x14ac:dyDescent="0.25"/>
    <row r="5" spans="2:6" ht="16.5" customHeight="1" x14ac:dyDescent="0.25">
      <c r="B5" s="5" t="s">
        <v>30</v>
      </c>
      <c r="C5" s="6"/>
      <c r="D5" s="6"/>
      <c r="E5" s="6"/>
      <c r="F5" s="6"/>
    </row>
    <row r="6" spans="2:6" ht="21" customHeight="1" x14ac:dyDescent="0.25">
      <c r="B6" s="10" t="s">
        <v>31</v>
      </c>
      <c r="C6" s="11" t="s">
        <v>32</v>
      </c>
      <c r="F6" s="10" t="s">
        <v>33</v>
      </c>
    </row>
    <row r="7" spans="2:6" x14ac:dyDescent="0.25">
      <c r="B7" s="12" t="s">
        <v>34</v>
      </c>
      <c r="C7" s="13">
        <v>0.25</v>
      </c>
      <c r="D7" s="14"/>
      <c r="F7" s="15" t="s">
        <v>35</v>
      </c>
    </row>
    <row r="8" spans="2:6" x14ac:dyDescent="0.25">
      <c r="B8" s="12" t="s">
        <v>36</v>
      </c>
      <c r="C8" s="13">
        <v>0.25</v>
      </c>
      <c r="D8" s="14"/>
      <c r="F8" s="15" t="s">
        <v>37</v>
      </c>
    </row>
    <row r="9" spans="2:6" x14ac:dyDescent="0.25">
      <c r="B9" s="12" t="s">
        <v>38</v>
      </c>
      <c r="C9" s="13">
        <v>0.3</v>
      </c>
      <c r="D9" s="14"/>
      <c r="F9" s="15" t="s">
        <v>39</v>
      </c>
    </row>
    <row r="10" spans="2:6" x14ac:dyDescent="0.25">
      <c r="B10" s="12" t="s">
        <v>40</v>
      </c>
      <c r="C10" s="13">
        <v>0.2</v>
      </c>
      <c r="D10" s="14"/>
      <c r="F10" s="15" t="s">
        <v>41</v>
      </c>
    </row>
    <row r="11" spans="2:6" x14ac:dyDescent="0.25">
      <c r="B11" s="16" t="s">
        <v>42</v>
      </c>
      <c r="C11" s="17">
        <f>SUM(C7:C10)</f>
        <v>1</v>
      </c>
      <c r="D11" s="18"/>
      <c r="F11" s="18"/>
    </row>
    <row r="13" spans="2:6" ht="16.5" customHeight="1" x14ac:dyDescent="0.25">
      <c r="B13" s="5" t="s">
        <v>43</v>
      </c>
      <c r="C13" s="6"/>
      <c r="D13" s="6"/>
      <c r="E13" s="6"/>
      <c r="F13" s="6"/>
    </row>
    <row r="14" spans="2:6" ht="21" customHeight="1" x14ac:dyDescent="0.25">
      <c r="B14" s="10" t="s">
        <v>44</v>
      </c>
      <c r="C14" s="11" t="s">
        <v>45</v>
      </c>
      <c r="F14" s="10" t="s">
        <v>46</v>
      </c>
    </row>
    <row r="15" spans="2:6" x14ac:dyDescent="0.25">
      <c r="B15" s="12" t="s">
        <v>47</v>
      </c>
      <c r="C15" s="19">
        <v>3</v>
      </c>
      <c r="D15" s="14"/>
      <c r="F15" s="15" t="s">
        <v>48</v>
      </c>
    </row>
    <row r="16" spans="2:6" x14ac:dyDescent="0.25">
      <c r="B16" s="12" t="s">
        <v>49</v>
      </c>
      <c r="C16" s="19">
        <v>1</v>
      </c>
      <c r="D16" s="14"/>
      <c r="F16" s="15" t="s">
        <v>50</v>
      </c>
    </row>
    <row r="17" spans="2:6" x14ac:dyDescent="0.25">
      <c r="B17" s="12" t="s">
        <v>51</v>
      </c>
      <c r="C17" s="19">
        <v>0</v>
      </c>
      <c r="D17" s="14"/>
      <c r="F17" s="15" t="s">
        <v>52</v>
      </c>
    </row>
    <row r="19" spans="2:6" ht="16.5" customHeight="1" x14ac:dyDescent="0.25">
      <c r="B19" s="5" t="s">
        <v>53</v>
      </c>
      <c r="C19" s="6"/>
      <c r="D19" s="6"/>
      <c r="E19" s="6"/>
      <c r="F19" s="6"/>
    </row>
    <row r="20" spans="2:6" ht="21" customHeight="1" x14ac:dyDescent="0.25">
      <c r="B20" s="10" t="s">
        <v>54</v>
      </c>
      <c r="C20" s="11" t="s">
        <v>55</v>
      </c>
      <c r="F20" s="10" t="s">
        <v>56</v>
      </c>
    </row>
    <row r="21" spans="2:6" x14ac:dyDescent="0.25">
      <c r="B21" s="12" t="s">
        <v>57</v>
      </c>
      <c r="C21" s="19">
        <v>70</v>
      </c>
      <c r="D21" s="14"/>
      <c r="F21" s="15" t="s">
        <v>58</v>
      </c>
    </row>
    <row r="22" spans="2:6" x14ac:dyDescent="0.25">
      <c r="B22" s="12" t="s">
        <v>59</v>
      </c>
      <c r="C22" s="19">
        <v>55</v>
      </c>
      <c r="D22" s="14"/>
      <c r="F22" s="15" t="s">
        <v>60</v>
      </c>
    </row>
    <row r="23" spans="2:6" x14ac:dyDescent="0.25">
      <c r="B23" s="12" t="s">
        <v>61</v>
      </c>
      <c r="C23" s="13">
        <v>0.25</v>
      </c>
      <c r="D23" s="14"/>
      <c r="F23" s="15" t="s">
        <v>62</v>
      </c>
    </row>
    <row r="24" spans="2:6" x14ac:dyDescent="0.25">
      <c r="B24" s="12" t="s">
        <v>63</v>
      </c>
      <c r="C24" s="20" t="s">
        <v>64</v>
      </c>
      <c r="D24" s="14"/>
      <c r="F24" s="15" t="s">
        <v>65</v>
      </c>
    </row>
    <row r="26" spans="2:6" ht="16.5" customHeight="1" x14ac:dyDescent="0.25">
      <c r="B26" s="5" t="s">
        <v>66</v>
      </c>
      <c r="C26" s="6"/>
      <c r="D26" s="6"/>
      <c r="E26" s="6"/>
      <c r="F26" s="6"/>
    </row>
    <row r="27" spans="2:6" ht="21" customHeight="1" x14ac:dyDescent="0.25">
      <c r="B27" s="10" t="s">
        <v>67</v>
      </c>
      <c r="C27" s="11" t="s">
        <v>68</v>
      </c>
      <c r="F27" s="10" t="s">
        <v>33</v>
      </c>
    </row>
    <row r="28" spans="2:6" x14ac:dyDescent="0.25">
      <c r="B28" s="12" t="s">
        <v>69</v>
      </c>
      <c r="C28" s="21">
        <v>7.4999999999999997E-2</v>
      </c>
      <c r="D28" s="14"/>
      <c r="F28" s="15" t="s">
        <v>70</v>
      </c>
    </row>
    <row r="29" spans="2:6" x14ac:dyDescent="0.25">
      <c r="B29" s="12" t="s">
        <v>71</v>
      </c>
      <c r="C29" s="21">
        <v>7.4999999999999997E-2</v>
      </c>
      <c r="D29" s="14"/>
      <c r="F29" s="15" t="s">
        <v>70</v>
      </c>
    </row>
    <row r="30" spans="2:6" x14ac:dyDescent="0.25">
      <c r="B30" s="12" t="s">
        <v>72</v>
      </c>
      <c r="C30" s="21">
        <v>6.5000000000000002E-2</v>
      </c>
      <c r="D30" s="14"/>
      <c r="F30" s="15" t="s">
        <v>70</v>
      </c>
    </row>
    <row r="31" spans="2:6" x14ac:dyDescent="0.25">
      <c r="B31" s="12" t="s">
        <v>73</v>
      </c>
      <c r="C31" s="13">
        <v>5.5E-2</v>
      </c>
      <c r="D31" s="14"/>
      <c r="F31" s="15" t="s">
        <v>74</v>
      </c>
    </row>
    <row r="33" spans="2:6" ht="16.5" customHeight="1" x14ac:dyDescent="0.25">
      <c r="B33" s="5" t="s">
        <v>75</v>
      </c>
      <c r="C33" s="6"/>
      <c r="D33" s="6"/>
      <c r="E33" s="6"/>
      <c r="F33" s="6"/>
    </row>
    <row r="34" spans="2:6" ht="21" customHeight="1" x14ac:dyDescent="0.25">
      <c r="B34" s="10" t="s">
        <v>67</v>
      </c>
      <c r="C34" s="11" t="s">
        <v>76</v>
      </c>
      <c r="D34" s="11" t="s">
        <v>33</v>
      </c>
      <c r="F34" s="10" t="s">
        <v>77</v>
      </c>
    </row>
    <row r="35" spans="2:6" x14ac:dyDescent="0.25">
      <c r="B35" s="12" t="s">
        <v>69</v>
      </c>
      <c r="C35" s="22">
        <v>20</v>
      </c>
      <c r="D35" s="23" t="s">
        <v>78</v>
      </c>
      <c r="F35" s="15" t="s">
        <v>79</v>
      </c>
    </row>
    <row r="36" spans="2:6" x14ac:dyDescent="0.25">
      <c r="B36" s="12" t="s">
        <v>71</v>
      </c>
      <c r="C36" s="22">
        <v>20</v>
      </c>
      <c r="D36" s="23" t="s">
        <v>78</v>
      </c>
      <c r="F36" s="15" t="s">
        <v>79</v>
      </c>
    </row>
    <row r="37" spans="2:6" x14ac:dyDescent="0.25">
      <c r="B37" s="12" t="s">
        <v>72</v>
      </c>
      <c r="C37" s="22">
        <v>40000</v>
      </c>
      <c r="D37" s="23" t="s">
        <v>80</v>
      </c>
      <c r="F37" s="15" t="s">
        <v>79</v>
      </c>
    </row>
    <row r="39" spans="2:6" ht="16.5" customHeight="1" x14ac:dyDescent="0.25">
      <c r="B39" s="5" t="s">
        <v>81</v>
      </c>
      <c r="C39" s="6"/>
      <c r="D39" s="6"/>
      <c r="E39" s="6"/>
      <c r="F39" s="6"/>
    </row>
    <row r="40" spans="2:6" ht="21" customHeight="1" x14ac:dyDescent="0.25">
      <c r="B40" s="10" t="s">
        <v>82</v>
      </c>
      <c r="C40" s="11" t="s">
        <v>76</v>
      </c>
      <c r="D40" s="11" t="s">
        <v>33</v>
      </c>
      <c r="F40" s="10" t="s">
        <v>77</v>
      </c>
    </row>
    <row r="41" spans="2:6" x14ac:dyDescent="0.25">
      <c r="B41" s="12" t="s">
        <v>83</v>
      </c>
      <c r="C41" s="22">
        <v>20000</v>
      </c>
      <c r="D41" s="23" t="s">
        <v>84</v>
      </c>
      <c r="F41" s="15" t="s">
        <v>85</v>
      </c>
    </row>
    <row r="42" spans="2:6" x14ac:dyDescent="0.25">
      <c r="B42" s="12" t="s">
        <v>86</v>
      </c>
      <c r="C42" s="22"/>
      <c r="D42" s="23" t="s">
        <v>87</v>
      </c>
      <c r="F42" s="15" t="s">
        <v>85</v>
      </c>
    </row>
    <row r="43" spans="2:6" x14ac:dyDescent="0.25">
      <c r="B43" s="12" t="s">
        <v>88</v>
      </c>
      <c r="C43" s="22"/>
      <c r="D43" s="23" t="s">
        <v>89</v>
      </c>
      <c r="F43" s="15" t="s">
        <v>85</v>
      </c>
    </row>
    <row r="45" spans="2:6" ht="16.5" customHeight="1" x14ac:dyDescent="0.25">
      <c r="B45" s="5" t="s">
        <v>90</v>
      </c>
      <c r="C45" s="6"/>
      <c r="D45" s="6"/>
      <c r="E45" s="6"/>
      <c r="F45" s="6"/>
    </row>
    <row r="46" spans="2:6" ht="21" customHeight="1" x14ac:dyDescent="0.25">
      <c r="B46" s="10" t="s">
        <v>54</v>
      </c>
      <c r="C46" s="11" t="s">
        <v>55</v>
      </c>
      <c r="F46" s="10" t="s">
        <v>56</v>
      </c>
    </row>
    <row r="47" spans="2:6" x14ac:dyDescent="0.25">
      <c r="B47" s="12" t="s">
        <v>91</v>
      </c>
      <c r="C47" s="13">
        <v>0.15</v>
      </c>
      <c r="D47" s="14"/>
      <c r="F47" s="15" t="s">
        <v>92</v>
      </c>
    </row>
    <row r="49" spans="2:6" ht="16.5" customHeight="1" x14ac:dyDescent="0.25">
      <c r="B49" s="5" t="s">
        <v>93</v>
      </c>
      <c r="C49" s="6"/>
      <c r="D49" s="6"/>
      <c r="E49" s="6"/>
      <c r="F49" s="6"/>
    </row>
    <row r="50" spans="2:6" ht="21" customHeight="1" x14ac:dyDescent="0.25">
      <c r="B50" s="10" t="s">
        <v>94</v>
      </c>
      <c r="C50" s="11" t="s">
        <v>95</v>
      </c>
      <c r="D50" s="11" t="s">
        <v>96</v>
      </c>
      <c r="F50" s="10" t="s">
        <v>97</v>
      </c>
    </row>
    <row r="51" spans="2:6" x14ac:dyDescent="0.25">
      <c r="B51" s="12" t="s">
        <v>98</v>
      </c>
      <c r="C51" s="19">
        <v>80</v>
      </c>
      <c r="D51" s="19">
        <v>50</v>
      </c>
      <c r="F51" s="15" t="s">
        <v>99</v>
      </c>
    </row>
    <row r="52" spans="2:6" x14ac:dyDescent="0.25">
      <c r="B52" s="12" t="s">
        <v>72</v>
      </c>
      <c r="C52" s="19">
        <v>70</v>
      </c>
      <c r="D52" s="19">
        <v>40</v>
      </c>
      <c r="F52" s="15" t="s">
        <v>100</v>
      </c>
    </row>
    <row r="54" spans="2:6" x14ac:dyDescent="0.25">
      <c r="B54" s="24" t="s">
        <v>101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B2B2B"/>
    <pageSetUpPr fitToPage="1"/>
  </sheetPr>
  <dimension ref="B1:F40"/>
  <sheetViews>
    <sheetView showGridLines="0" zoomScaleNormal="100" workbookViewId="0">
      <selection activeCell="F7" sqref="F7"/>
    </sheetView>
  </sheetViews>
  <sheetFormatPr defaultColWidth="8.7109375" defaultRowHeight="15" x14ac:dyDescent="0.25"/>
  <cols>
    <col min="1" max="1" width="2.42578125" customWidth="1"/>
    <col min="2" max="2" width="34" customWidth="1"/>
    <col min="3" max="4" width="15" customWidth="1"/>
    <col min="5" max="5" width="3" customWidth="1"/>
    <col min="6" max="6" width="50" customWidth="1"/>
  </cols>
  <sheetData>
    <row r="1" spans="2:6" ht="18" customHeight="1" x14ac:dyDescent="0.25">
      <c r="F1" s="2" t="s">
        <v>102</v>
      </c>
    </row>
    <row r="2" spans="2:6" ht="15.75" customHeight="1" x14ac:dyDescent="0.25">
      <c r="F2" s="3" t="s">
        <v>103</v>
      </c>
    </row>
    <row r="3" spans="2:6" ht="3.75" customHeight="1" x14ac:dyDescent="0.25">
      <c r="B3" s="4"/>
      <c r="C3" s="4"/>
      <c r="D3" s="4"/>
      <c r="E3" s="4"/>
      <c r="F3" s="4"/>
    </row>
    <row r="4" spans="2:6" ht="4.5" customHeight="1" x14ac:dyDescent="0.25"/>
    <row r="5" spans="2:6" ht="16.5" customHeight="1" x14ac:dyDescent="0.25">
      <c r="B5" s="5" t="s">
        <v>104</v>
      </c>
      <c r="C5" s="6"/>
      <c r="D5" s="6"/>
      <c r="E5" s="6"/>
      <c r="F5" s="6"/>
    </row>
    <row r="6" spans="2:6" x14ac:dyDescent="0.25">
      <c r="B6" s="12" t="s">
        <v>105</v>
      </c>
      <c r="C6" s="25"/>
      <c r="D6" s="14"/>
      <c r="F6" s="15" t="s">
        <v>106</v>
      </c>
    </row>
    <row r="7" spans="2:6" x14ac:dyDescent="0.25">
      <c r="B7" s="12" t="s">
        <v>107</v>
      </c>
      <c r="C7" s="25" t="s">
        <v>108</v>
      </c>
      <c r="D7" s="14"/>
      <c r="F7" s="15" t="s">
        <v>109</v>
      </c>
    </row>
    <row r="8" spans="2:6" x14ac:dyDescent="0.25">
      <c r="B8" s="12" t="s">
        <v>110</v>
      </c>
      <c r="C8" s="25"/>
      <c r="D8" s="14"/>
      <c r="F8" s="14"/>
    </row>
    <row r="9" spans="2:6" x14ac:dyDescent="0.25">
      <c r="B9" s="7" t="s">
        <v>111</v>
      </c>
      <c r="C9" s="19"/>
      <c r="D9" s="14"/>
      <c r="F9" s="15" t="s">
        <v>112</v>
      </c>
    </row>
    <row r="10" spans="2:6" x14ac:dyDescent="0.25">
      <c r="B10" s="7" t="s">
        <v>113</v>
      </c>
      <c r="C10" s="19"/>
      <c r="D10" s="14"/>
      <c r="F10" s="15" t="s">
        <v>114</v>
      </c>
    </row>
    <row r="12" spans="2:6" ht="16.5" customHeight="1" x14ac:dyDescent="0.25">
      <c r="B12" s="5" t="s">
        <v>115</v>
      </c>
      <c r="C12" s="6"/>
      <c r="D12" s="6"/>
      <c r="E12" s="6"/>
      <c r="F12" s="6"/>
    </row>
    <row r="13" spans="2:6" x14ac:dyDescent="0.25">
      <c r="B13" s="12" t="s">
        <v>116</v>
      </c>
      <c r="C13" s="26" t="str">
        <f>IF('Deal Screen'!C9="","—",'Deal Screen'!C9)</f>
        <v>—</v>
      </c>
      <c r="D13" s="14"/>
      <c r="F13" s="14"/>
    </row>
    <row r="14" spans="2:6" x14ac:dyDescent="0.25">
      <c r="B14" s="7" t="s">
        <v>117</v>
      </c>
      <c r="C14" s="27" t="str">
        <f>IF(C13="Mixed-Use",C9,IF(C13="Multifamily",C10,""))</f>
        <v/>
      </c>
      <c r="D14" s="14"/>
      <c r="F14" s="14"/>
    </row>
    <row r="15" spans="2:6" x14ac:dyDescent="0.25">
      <c r="B15" s="12" t="s">
        <v>118</v>
      </c>
      <c r="C15" s="28">
        <f>IF(C13="Multifamily",Assumptions!C52,Assumptions!C51)</f>
        <v>80</v>
      </c>
      <c r="D15" s="14"/>
      <c r="F15" s="14"/>
    </row>
    <row r="16" spans="2:6" x14ac:dyDescent="0.25">
      <c r="B16" s="12" t="s">
        <v>119</v>
      </c>
      <c r="C16" s="28">
        <f>IF(C13="Multifamily",Assumptions!D52,Assumptions!D51)</f>
        <v>50</v>
      </c>
      <c r="D16" s="14"/>
      <c r="F16" s="14"/>
    </row>
    <row r="17" spans="2:6" ht="21" customHeight="1" x14ac:dyDescent="0.25">
      <c r="B17" s="29" t="s">
        <v>120</v>
      </c>
      <c r="C17" s="30" t="str">
        <f>IF(C14="","—",IF(C14&gt;=C15,"GO",IF(C14&lt;=C16,"NO-GO","WATCH")))</f>
        <v>—</v>
      </c>
      <c r="D17" s="6"/>
      <c r="E17" s="6"/>
      <c r="F17" s="6"/>
    </row>
    <row r="19" spans="2:6" ht="16.5" customHeight="1" x14ac:dyDescent="0.25">
      <c r="B19" s="5" t="s">
        <v>121</v>
      </c>
      <c r="C19" s="6"/>
      <c r="D19" s="6"/>
      <c r="E19" s="6"/>
      <c r="F19" s="6"/>
    </row>
    <row r="20" spans="2:6" ht="21" customHeight="1" x14ac:dyDescent="0.25">
      <c r="B20" s="10" t="s">
        <v>122</v>
      </c>
      <c r="C20" s="11" t="s">
        <v>98</v>
      </c>
      <c r="D20" s="11" t="s">
        <v>72</v>
      </c>
      <c r="F20" s="10" t="s">
        <v>123</v>
      </c>
    </row>
    <row r="21" spans="2:6" x14ac:dyDescent="0.25">
      <c r="B21" s="12" t="s">
        <v>124</v>
      </c>
      <c r="C21" s="26">
        <v>100</v>
      </c>
      <c r="D21" s="26">
        <v>85</v>
      </c>
      <c r="F21" s="15" t="s">
        <v>125</v>
      </c>
    </row>
    <row r="22" spans="2:6" x14ac:dyDescent="0.25">
      <c r="B22" s="31" t="s">
        <v>126</v>
      </c>
      <c r="C22" s="32">
        <v>101</v>
      </c>
      <c r="D22" s="32">
        <v>85</v>
      </c>
      <c r="F22" s="33" t="s">
        <v>127</v>
      </c>
    </row>
    <row r="23" spans="2:6" x14ac:dyDescent="0.25">
      <c r="B23" s="12" t="s">
        <v>128</v>
      </c>
      <c r="C23" s="26">
        <v>93</v>
      </c>
      <c r="D23" s="26">
        <v>80</v>
      </c>
      <c r="F23" s="15" t="s">
        <v>129</v>
      </c>
    </row>
    <row r="24" spans="2:6" x14ac:dyDescent="0.25">
      <c r="B24" s="31" t="s">
        <v>130</v>
      </c>
      <c r="C24" s="32">
        <v>16</v>
      </c>
      <c r="D24" s="32">
        <v>55</v>
      </c>
      <c r="F24" s="33" t="s">
        <v>131</v>
      </c>
    </row>
    <row r="26" spans="2:6" x14ac:dyDescent="0.25">
      <c r="B26" s="24" t="s">
        <v>132</v>
      </c>
    </row>
    <row r="28" spans="2:6" ht="16.5" customHeight="1" x14ac:dyDescent="0.25">
      <c r="B28" s="5" t="s">
        <v>133</v>
      </c>
      <c r="C28" s="6"/>
      <c r="D28" s="6"/>
      <c r="E28" s="6"/>
      <c r="F28" s="6"/>
    </row>
    <row r="29" spans="2:6" ht="21" customHeight="1" x14ac:dyDescent="0.25">
      <c r="B29" s="10" t="s">
        <v>134</v>
      </c>
      <c r="C29" s="11" t="s">
        <v>135</v>
      </c>
      <c r="D29" s="11" t="s">
        <v>136</v>
      </c>
      <c r="F29" s="10" t="s">
        <v>77</v>
      </c>
    </row>
    <row r="30" spans="2:6" x14ac:dyDescent="0.25">
      <c r="B30" s="12" t="s">
        <v>137</v>
      </c>
      <c r="C30" s="26">
        <v>30</v>
      </c>
      <c r="D30" s="26">
        <v>35</v>
      </c>
      <c r="F30" s="15" t="s">
        <v>138</v>
      </c>
    </row>
    <row r="31" spans="2:6" x14ac:dyDescent="0.25">
      <c r="B31" s="31" t="s">
        <v>139</v>
      </c>
      <c r="C31" s="32">
        <v>25</v>
      </c>
      <c r="D31" s="32">
        <v>15</v>
      </c>
      <c r="F31" s="33" t="s">
        <v>140</v>
      </c>
    </row>
    <row r="32" spans="2:6" x14ac:dyDescent="0.25">
      <c r="B32" s="12" t="s">
        <v>141</v>
      </c>
      <c r="C32" s="26">
        <v>20</v>
      </c>
      <c r="D32" s="26">
        <v>25</v>
      </c>
      <c r="F32" s="15" t="s">
        <v>138</v>
      </c>
    </row>
    <row r="33" spans="2:6" x14ac:dyDescent="0.25">
      <c r="B33" s="31" t="s">
        <v>142</v>
      </c>
      <c r="C33" s="32">
        <v>10</v>
      </c>
      <c r="D33" s="32">
        <v>10</v>
      </c>
      <c r="F33" s="33"/>
    </row>
    <row r="34" spans="2:6" x14ac:dyDescent="0.25">
      <c r="B34" s="12" t="s">
        <v>143</v>
      </c>
      <c r="C34" s="26">
        <v>5</v>
      </c>
      <c r="D34" s="26" t="s">
        <v>144</v>
      </c>
      <c r="F34" s="15" t="s">
        <v>145</v>
      </c>
    </row>
    <row r="35" spans="2:6" x14ac:dyDescent="0.25">
      <c r="B35" s="31" t="s">
        <v>146</v>
      </c>
      <c r="C35" s="32">
        <v>5</v>
      </c>
      <c r="D35" s="32" t="s">
        <v>144</v>
      </c>
      <c r="F35" s="33" t="s">
        <v>145</v>
      </c>
    </row>
    <row r="36" spans="2:6" x14ac:dyDescent="0.25">
      <c r="B36" s="12" t="s">
        <v>147</v>
      </c>
      <c r="C36" s="26" t="s">
        <v>144</v>
      </c>
      <c r="D36" s="26">
        <v>5</v>
      </c>
      <c r="F36" s="15" t="s">
        <v>148</v>
      </c>
    </row>
    <row r="37" spans="2:6" x14ac:dyDescent="0.25">
      <c r="B37" s="31" t="s">
        <v>149</v>
      </c>
      <c r="C37" s="32" t="s">
        <v>144</v>
      </c>
      <c r="D37" s="32">
        <v>5</v>
      </c>
      <c r="F37" s="33" t="s">
        <v>148</v>
      </c>
    </row>
    <row r="38" spans="2:6" x14ac:dyDescent="0.25">
      <c r="B38" s="12" t="s">
        <v>150</v>
      </c>
      <c r="C38" s="26">
        <v>5</v>
      </c>
      <c r="D38" s="26">
        <v>5</v>
      </c>
      <c r="F38" s="15"/>
    </row>
    <row r="40" spans="2:6" x14ac:dyDescent="0.25">
      <c r="B40" s="24" t="s">
        <v>151</v>
      </c>
    </row>
  </sheetData>
  <conditionalFormatting sqref="C17">
    <cfRule type="cellIs" dxfId="40" priority="2" operator="equal">
      <formula>"GO"</formula>
    </cfRule>
    <cfRule type="cellIs" dxfId="39" priority="3" operator="equal">
      <formula>"WATCH"</formula>
    </cfRule>
    <cfRule type="cellIs" dxfId="38" priority="4" operator="equal">
      <formula>"NO-GO"</formula>
    </cfRule>
    <cfRule type="cellIs" dxfId="37" priority="5" operator="equal">
      <formula>"INCOMPLETE"</formula>
    </cfRule>
    <cfRule type="cellIs" dxfId="36" priority="6" operator="equal">
      <formula>"NOT SCORED"</formula>
    </cfRule>
    <cfRule type="cellIs" dxfId="35" priority="7" operator="equal">
      <formula>"PASS"</formula>
    </cfRule>
    <cfRule type="cellIs" dxfId="34" priority="8" operator="equal">
      <formula>"FAIL"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B2B2B"/>
    <pageSetUpPr fitToPage="1"/>
  </sheetPr>
  <dimension ref="B1:H53"/>
  <sheetViews>
    <sheetView showGridLines="0" zoomScaleNormal="100" workbookViewId="0">
      <selection activeCell="L29" sqref="L29"/>
    </sheetView>
  </sheetViews>
  <sheetFormatPr defaultColWidth="8.7109375" defaultRowHeight="15" x14ac:dyDescent="0.25"/>
  <cols>
    <col min="1" max="1" width="2.42578125" customWidth="1"/>
    <col min="2" max="2" width="38" customWidth="1"/>
    <col min="3" max="4" width="16" customWidth="1"/>
    <col min="5" max="5" width="11" customWidth="1"/>
    <col min="6" max="6" width="16" customWidth="1"/>
    <col min="7" max="7" width="11" customWidth="1"/>
    <col min="8" max="8" width="46" customWidth="1"/>
  </cols>
  <sheetData>
    <row r="1" spans="2:8" ht="18" customHeight="1" x14ac:dyDescent="0.25">
      <c r="H1" s="2" t="s">
        <v>214</v>
      </c>
    </row>
    <row r="2" spans="2:8" ht="15.75" customHeight="1" x14ac:dyDescent="0.25">
      <c r="H2" s="3" t="s">
        <v>215</v>
      </c>
    </row>
    <row r="3" spans="2:8" ht="3.75" customHeight="1" x14ac:dyDescent="0.25">
      <c r="B3" s="4"/>
      <c r="C3" s="4"/>
      <c r="D3" s="4"/>
      <c r="E3" s="4"/>
      <c r="F3" s="4"/>
      <c r="G3" s="4"/>
      <c r="H3" s="4"/>
    </row>
    <row r="4" spans="2:8" ht="4.5" customHeight="1" x14ac:dyDescent="0.25"/>
    <row r="5" spans="2:8" ht="13.5" customHeight="1" x14ac:dyDescent="0.25">
      <c r="B5" s="47" t="s">
        <v>216</v>
      </c>
    </row>
    <row r="6" spans="2:8" ht="16.5" customHeight="1" x14ac:dyDescent="0.25">
      <c r="B6" s="5" t="s">
        <v>217</v>
      </c>
      <c r="C6" s="6"/>
      <c r="D6" s="6"/>
      <c r="E6" s="6"/>
      <c r="F6" s="6"/>
      <c r="G6" s="6"/>
      <c r="H6" s="6"/>
    </row>
    <row r="7" spans="2:8" ht="21" customHeight="1" x14ac:dyDescent="0.25">
      <c r="B7" s="10" t="s">
        <v>67</v>
      </c>
      <c r="C7" s="11" t="s">
        <v>218</v>
      </c>
      <c r="D7" s="11" t="s">
        <v>219</v>
      </c>
      <c r="E7" s="11" t="s">
        <v>68</v>
      </c>
      <c r="F7" s="11" t="s">
        <v>220</v>
      </c>
      <c r="H7" s="10" t="s">
        <v>77</v>
      </c>
    </row>
    <row r="8" spans="2:8" x14ac:dyDescent="0.25">
      <c r="B8" s="12" t="s">
        <v>69</v>
      </c>
      <c r="C8" s="22"/>
      <c r="D8" s="22"/>
      <c r="E8" s="48">
        <f>Assumptions!$C$28</f>
        <v>7.4999999999999997E-2</v>
      </c>
      <c r="F8" s="49">
        <f>IFERROR(C8/E8,0)</f>
        <v>0</v>
      </c>
      <c r="H8" s="15" t="s">
        <v>221</v>
      </c>
    </row>
    <row r="9" spans="2:8" x14ac:dyDescent="0.25">
      <c r="B9" s="31" t="s">
        <v>71</v>
      </c>
      <c r="C9" s="22"/>
      <c r="D9" s="22"/>
      <c r="E9" s="48">
        <f>Assumptions!$C$29</f>
        <v>7.4999999999999997E-2</v>
      </c>
      <c r="F9" s="49">
        <f>IFERROR(C9/E9,0)</f>
        <v>0</v>
      </c>
      <c r="H9" s="33" t="s">
        <v>221</v>
      </c>
    </row>
    <row r="10" spans="2:8" x14ac:dyDescent="0.25">
      <c r="B10" s="12" t="s">
        <v>72</v>
      </c>
      <c r="C10" s="22"/>
      <c r="D10" s="22"/>
      <c r="E10" s="48">
        <f>Assumptions!$C$30</f>
        <v>6.5000000000000002E-2</v>
      </c>
      <c r="F10" s="49">
        <f>IFERROR(C10/E10,0)</f>
        <v>0</v>
      </c>
      <c r="H10" s="15" t="s">
        <v>221</v>
      </c>
    </row>
    <row r="11" spans="2:8" x14ac:dyDescent="0.25">
      <c r="B11" s="16" t="s">
        <v>42</v>
      </c>
      <c r="C11" s="50">
        <f>SUM(C8:C10)</f>
        <v>0</v>
      </c>
      <c r="D11" s="50">
        <f>SUM(D8:D10)</f>
        <v>0</v>
      </c>
      <c r="E11" s="51">
        <f>IFERROR(C11/F11,0)</f>
        <v>0</v>
      </c>
      <c r="F11" s="50">
        <f>SUM(F8:F10)</f>
        <v>0</v>
      </c>
      <c r="H11" s="52" t="s">
        <v>222</v>
      </c>
    </row>
    <row r="13" spans="2:8" ht="16.5" customHeight="1" x14ac:dyDescent="0.25">
      <c r="B13" s="5" t="s">
        <v>223</v>
      </c>
      <c r="C13" s="6"/>
      <c r="D13" s="6"/>
      <c r="E13" s="6"/>
      <c r="F13" s="6"/>
      <c r="G13" s="6"/>
      <c r="H13" s="6"/>
    </row>
    <row r="14" spans="2:8" ht="21" customHeight="1" x14ac:dyDescent="0.25">
      <c r="B14" s="10" t="s">
        <v>82</v>
      </c>
      <c r="C14" s="11" t="s">
        <v>224</v>
      </c>
      <c r="D14" s="11" t="s">
        <v>76</v>
      </c>
      <c r="E14" s="11" t="s">
        <v>225</v>
      </c>
      <c r="H14" s="10" t="s">
        <v>77</v>
      </c>
    </row>
    <row r="15" spans="2:8" x14ac:dyDescent="0.25">
      <c r="B15" s="12" t="s">
        <v>226</v>
      </c>
      <c r="C15" s="19"/>
      <c r="D15" s="53">
        <f>Assumptions!$C$41</f>
        <v>20000</v>
      </c>
      <c r="E15" s="49">
        <f>IFERROR(C15*D15,0)</f>
        <v>0</v>
      </c>
      <c r="H15" s="15" t="s">
        <v>227</v>
      </c>
    </row>
    <row r="16" spans="2:8" x14ac:dyDescent="0.25">
      <c r="B16" s="31" t="s">
        <v>228</v>
      </c>
      <c r="C16" s="19"/>
      <c r="D16" s="53">
        <f>Assumptions!$C$42</f>
        <v>0</v>
      </c>
      <c r="E16" s="49">
        <f>IFERROR(C16*D16,0)</f>
        <v>0</v>
      </c>
      <c r="H16" s="33" t="s">
        <v>227</v>
      </c>
    </row>
    <row r="17" spans="2:8" x14ac:dyDescent="0.25">
      <c r="B17" s="12" t="s">
        <v>88</v>
      </c>
      <c r="C17" s="19"/>
      <c r="D17" s="53">
        <f>Assumptions!$C$43</f>
        <v>0</v>
      </c>
      <c r="E17" s="49">
        <f>IFERROR(C17*D17,0)</f>
        <v>0</v>
      </c>
      <c r="H17" s="15" t="s">
        <v>227</v>
      </c>
    </row>
    <row r="18" spans="2:8" x14ac:dyDescent="0.25">
      <c r="B18" s="16" t="s">
        <v>229</v>
      </c>
      <c r="C18" s="18"/>
      <c r="D18" s="18"/>
      <c r="E18" s="50">
        <f>SUM(E15:E17)</f>
        <v>0</v>
      </c>
      <c r="H18" s="18"/>
    </row>
    <row r="20" spans="2:8" ht="16.5" customHeight="1" x14ac:dyDescent="0.25">
      <c r="B20" s="5" t="s">
        <v>230</v>
      </c>
      <c r="C20" s="6"/>
      <c r="D20" s="6"/>
      <c r="E20" s="6"/>
      <c r="F20" s="6"/>
      <c r="G20" s="6"/>
      <c r="H20" s="6"/>
    </row>
    <row r="21" spans="2:8" x14ac:dyDescent="0.25">
      <c r="B21" s="12" t="s">
        <v>231</v>
      </c>
      <c r="C21" s="53">
        <f>F11</f>
        <v>0</v>
      </c>
      <c r="D21" s="14"/>
      <c r="E21" s="14"/>
      <c r="F21" s="14"/>
      <c r="H21" s="14"/>
    </row>
    <row r="22" spans="2:8" x14ac:dyDescent="0.25">
      <c r="B22" s="12" t="s">
        <v>232</v>
      </c>
      <c r="C22" s="53">
        <f>-D11</f>
        <v>0</v>
      </c>
      <c r="D22" s="14"/>
      <c r="E22" s="14"/>
      <c r="F22" s="14"/>
      <c r="H22" s="15" t="s">
        <v>233</v>
      </c>
    </row>
    <row r="23" spans="2:8" x14ac:dyDescent="0.25">
      <c r="B23" s="12" t="s">
        <v>234</v>
      </c>
      <c r="C23" s="53">
        <f>E18</f>
        <v>0</v>
      </c>
      <c r="D23" s="14"/>
      <c r="E23" s="14"/>
      <c r="F23" s="14"/>
      <c r="H23" s="15" t="s">
        <v>235</v>
      </c>
    </row>
    <row r="24" spans="2:8" x14ac:dyDescent="0.25">
      <c r="B24" s="12" t="s">
        <v>236</v>
      </c>
      <c r="C24" s="53">
        <f>C21+C22+C23</f>
        <v>0</v>
      </c>
      <c r="D24" s="14"/>
      <c r="E24" s="14"/>
      <c r="F24" s="14"/>
      <c r="H24" s="14"/>
    </row>
    <row r="25" spans="2:8" x14ac:dyDescent="0.25">
      <c r="B25" s="12" t="s">
        <v>237</v>
      </c>
      <c r="C25" s="35">
        <f>Assumptions!C31</f>
        <v>5.5E-2</v>
      </c>
      <c r="D25" s="14"/>
      <c r="E25" s="14"/>
      <c r="F25" s="14"/>
      <c r="H25" s="15" t="s">
        <v>238</v>
      </c>
    </row>
    <row r="26" spans="2:8" x14ac:dyDescent="0.25">
      <c r="B26" s="7" t="s">
        <v>239</v>
      </c>
      <c r="C26" s="54">
        <f>C24/(1+C25)</f>
        <v>0</v>
      </c>
      <c r="D26" s="14"/>
      <c r="E26" s="14"/>
      <c r="F26" s="14"/>
      <c r="H26" s="15" t="s">
        <v>240</v>
      </c>
    </row>
    <row r="28" spans="2:8" ht="16.5" customHeight="1" x14ac:dyDescent="0.25">
      <c r="B28" s="5" t="s">
        <v>241</v>
      </c>
      <c r="C28" s="6"/>
      <c r="D28" s="6"/>
      <c r="E28" s="6"/>
      <c r="F28" s="6"/>
      <c r="G28" s="6"/>
      <c r="H28" s="6"/>
    </row>
    <row r="29" spans="2:8" x14ac:dyDescent="0.25">
      <c r="B29" s="7" t="s">
        <v>242</v>
      </c>
      <c r="C29" s="22"/>
      <c r="D29" s="14"/>
      <c r="E29" s="14"/>
      <c r="F29" s="14"/>
      <c r="H29" s="15" t="s">
        <v>243</v>
      </c>
    </row>
    <row r="30" spans="2:8" x14ac:dyDescent="0.25">
      <c r="B30" s="7" t="s">
        <v>244</v>
      </c>
      <c r="C30" s="50">
        <f>IF(C29=0,0,C26-C29)</f>
        <v>0</v>
      </c>
      <c r="D30" s="14"/>
      <c r="E30" s="14"/>
      <c r="F30" s="14"/>
      <c r="H30" s="14"/>
    </row>
    <row r="31" spans="2:8" x14ac:dyDescent="0.25">
      <c r="B31" s="12" t="s">
        <v>245</v>
      </c>
      <c r="C31" s="35">
        <f>IFERROR(C30/C29,0)</f>
        <v>0</v>
      </c>
      <c r="D31" s="14"/>
      <c r="E31" s="14"/>
      <c r="F31" s="14"/>
      <c r="H31" s="14"/>
    </row>
    <row r="32" spans="2:8" x14ac:dyDescent="0.25">
      <c r="B32" s="12" t="s">
        <v>246</v>
      </c>
      <c r="C32" s="55"/>
      <c r="D32" s="14"/>
      <c r="E32" s="14"/>
      <c r="F32" s="14"/>
      <c r="H32" s="15" t="s">
        <v>247</v>
      </c>
    </row>
    <row r="33" spans="2:8" x14ac:dyDescent="0.25">
      <c r="B33" s="12" t="s">
        <v>248</v>
      </c>
      <c r="C33" s="53">
        <f>IFERROR(C26/C32,0)</f>
        <v>0</v>
      </c>
      <c r="D33" s="14"/>
      <c r="E33" s="14"/>
      <c r="F33" s="14"/>
      <c r="H33" s="14"/>
    </row>
    <row r="34" spans="2:8" ht="21" customHeight="1" x14ac:dyDescent="0.25">
      <c r="B34" s="29" t="s">
        <v>249</v>
      </c>
      <c r="C34" s="30" t="str">
        <f>IF(C29=0,"—",IF(C26&gt;=C29,"PASS","FAIL"))</f>
        <v>—</v>
      </c>
      <c r="D34" s="6"/>
      <c r="E34" s="6"/>
      <c r="F34" s="6"/>
      <c r="G34" s="6"/>
      <c r="H34" s="6"/>
    </row>
    <row r="36" spans="2:8" ht="16.5" customHeight="1" x14ac:dyDescent="0.25">
      <c r="B36" s="5" t="s">
        <v>250</v>
      </c>
      <c r="C36" s="6"/>
      <c r="D36" s="6"/>
      <c r="E36" s="6"/>
      <c r="F36" s="6"/>
      <c r="G36" s="6"/>
      <c r="H36" s="6"/>
    </row>
    <row r="37" spans="2:8" ht="21" customHeight="1" x14ac:dyDescent="0.25">
      <c r="B37" s="10" t="s">
        <v>67</v>
      </c>
      <c r="C37" s="11" t="s">
        <v>224</v>
      </c>
      <c r="D37" s="11" t="s">
        <v>251</v>
      </c>
      <c r="E37" s="11" t="s">
        <v>252</v>
      </c>
      <c r="H37" s="10" t="s">
        <v>77</v>
      </c>
    </row>
    <row r="38" spans="2:8" x14ac:dyDescent="0.25">
      <c r="B38" s="12" t="s">
        <v>253</v>
      </c>
      <c r="C38" s="19"/>
      <c r="D38" s="53">
        <f>Assumptions!$C$35</f>
        <v>20</v>
      </c>
      <c r="E38" s="49">
        <f>IFERROR(C38*D38,0)</f>
        <v>0</v>
      </c>
      <c r="H38" s="15" t="s">
        <v>254</v>
      </c>
    </row>
    <row r="39" spans="2:8" x14ac:dyDescent="0.25">
      <c r="B39" s="31" t="s">
        <v>255</v>
      </c>
      <c r="C39" s="19"/>
      <c r="D39" s="53">
        <f>Assumptions!$C$36</f>
        <v>20</v>
      </c>
      <c r="E39" s="49">
        <f>IFERROR(C39*D39,0)</f>
        <v>0</v>
      </c>
      <c r="H39" s="33" t="s">
        <v>254</v>
      </c>
    </row>
    <row r="40" spans="2:8" x14ac:dyDescent="0.25">
      <c r="B40" s="12" t="s">
        <v>256</v>
      </c>
      <c r="C40" s="19"/>
      <c r="D40" s="53">
        <f>Assumptions!$C$37</f>
        <v>40000</v>
      </c>
      <c r="E40" s="49">
        <f>IFERROR(C40*D40,0)</f>
        <v>0</v>
      </c>
      <c r="H40" s="15" t="s">
        <v>254</v>
      </c>
    </row>
    <row r="41" spans="2:8" x14ac:dyDescent="0.25">
      <c r="B41" s="16" t="s">
        <v>257</v>
      </c>
      <c r="C41" s="18"/>
      <c r="D41" s="18"/>
      <c r="E41" s="50">
        <f>SUM(E38:E40)</f>
        <v>0</v>
      </c>
      <c r="H41" s="18"/>
    </row>
    <row r="42" spans="2:8" x14ac:dyDescent="0.25">
      <c r="B42" s="12" t="s">
        <v>258</v>
      </c>
      <c r="C42" s="53">
        <f>C26-E41</f>
        <v>0</v>
      </c>
      <c r="D42" s="14"/>
      <c r="E42" s="14"/>
      <c r="F42" s="14"/>
      <c r="H42" s="15" t="s">
        <v>259</v>
      </c>
    </row>
    <row r="43" spans="2:8" x14ac:dyDescent="0.25">
      <c r="B43" s="12" t="s">
        <v>260</v>
      </c>
      <c r="C43" s="35">
        <f>IFERROR(C8/C11,0)</f>
        <v>0</v>
      </c>
      <c r="D43" s="14"/>
      <c r="E43" s="14"/>
      <c r="F43" s="14"/>
      <c r="H43" s="15" t="s">
        <v>261</v>
      </c>
    </row>
    <row r="44" spans="2:8" x14ac:dyDescent="0.25">
      <c r="B44" s="12" t="s">
        <v>262</v>
      </c>
      <c r="C44" s="36" t="str">
        <f>IF(C11=0,"—",IF(C43&lt;=Assumptions!C47,"Multifamily","Mixed-Use"))</f>
        <v>—</v>
      </c>
      <c r="D44" s="14"/>
      <c r="E44" s="14"/>
      <c r="F44" s="14"/>
      <c r="H44" s="15" t="s">
        <v>263</v>
      </c>
    </row>
    <row r="46" spans="2:8" ht="16.5" customHeight="1" x14ac:dyDescent="0.25">
      <c r="B46" s="5" t="s">
        <v>264</v>
      </c>
      <c r="C46" s="6"/>
      <c r="D46" s="6"/>
      <c r="E46" s="6"/>
      <c r="F46" s="6"/>
      <c r="G46" s="6"/>
      <c r="H46" s="6"/>
    </row>
    <row r="47" spans="2:8" x14ac:dyDescent="0.25">
      <c r="B47" s="24" t="s">
        <v>265</v>
      </c>
    </row>
    <row r="48" spans="2:8" ht="18.75" customHeight="1" x14ac:dyDescent="0.25">
      <c r="B48" s="56" t="s">
        <v>266</v>
      </c>
      <c r="C48" s="57">
        <v>7.0000000000000007E-2</v>
      </c>
      <c r="D48" s="57">
        <v>7.2499999999999995E-2</v>
      </c>
      <c r="E48" s="57">
        <v>7.4999999999999997E-2</v>
      </c>
      <c r="F48" s="57">
        <v>7.7499999999999999E-2</v>
      </c>
      <c r="G48" s="57">
        <v>0.08</v>
      </c>
    </row>
    <row r="49" spans="2:7" x14ac:dyDescent="0.25">
      <c r="B49" s="58">
        <v>0.06</v>
      </c>
      <c r="C49" s="49">
        <f t="shared" ref="C49:G53" si="0">IFERROR((($C$8/C$48)+($C$9/C$48)+($C$10/$B49)-$D$11+$E$18)/(1+$C$25),0)</f>
        <v>0</v>
      </c>
      <c r="D49" s="49">
        <f t="shared" si="0"/>
        <v>0</v>
      </c>
      <c r="E49" s="49">
        <f t="shared" si="0"/>
        <v>0</v>
      </c>
      <c r="F49" s="49">
        <f t="shared" si="0"/>
        <v>0</v>
      </c>
      <c r="G49" s="49">
        <f t="shared" si="0"/>
        <v>0</v>
      </c>
    </row>
    <row r="50" spans="2:7" x14ac:dyDescent="0.25">
      <c r="B50" s="58">
        <v>6.25E-2</v>
      </c>
      <c r="C50" s="59">
        <f t="shared" si="0"/>
        <v>0</v>
      </c>
      <c r="D50" s="59">
        <f t="shared" si="0"/>
        <v>0</v>
      </c>
      <c r="E50" s="59">
        <f t="shared" si="0"/>
        <v>0</v>
      </c>
      <c r="F50" s="59">
        <f t="shared" si="0"/>
        <v>0</v>
      </c>
      <c r="G50" s="59">
        <f t="shared" si="0"/>
        <v>0</v>
      </c>
    </row>
    <row r="51" spans="2:7" x14ac:dyDescent="0.25">
      <c r="B51" s="58">
        <v>6.5000000000000002E-2</v>
      </c>
      <c r="C51" s="49">
        <f t="shared" si="0"/>
        <v>0</v>
      </c>
      <c r="D51" s="49">
        <f t="shared" si="0"/>
        <v>0</v>
      </c>
      <c r="E51" s="49">
        <f t="shared" si="0"/>
        <v>0</v>
      </c>
      <c r="F51" s="49">
        <f t="shared" si="0"/>
        <v>0</v>
      </c>
      <c r="G51" s="49">
        <f t="shared" si="0"/>
        <v>0</v>
      </c>
    </row>
    <row r="52" spans="2:7" x14ac:dyDescent="0.25">
      <c r="B52" s="58">
        <v>6.7500000000000004E-2</v>
      </c>
      <c r="C52" s="59">
        <f t="shared" si="0"/>
        <v>0</v>
      </c>
      <c r="D52" s="59">
        <f t="shared" si="0"/>
        <v>0</v>
      </c>
      <c r="E52" s="59">
        <f t="shared" si="0"/>
        <v>0</v>
      </c>
      <c r="F52" s="59">
        <f t="shared" si="0"/>
        <v>0</v>
      </c>
      <c r="G52" s="59">
        <f t="shared" si="0"/>
        <v>0</v>
      </c>
    </row>
    <row r="53" spans="2:7" x14ac:dyDescent="0.25">
      <c r="B53" s="58">
        <v>7.0000000000000007E-2</v>
      </c>
      <c r="C53" s="49">
        <f t="shared" si="0"/>
        <v>0</v>
      </c>
      <c r="D53" s="49">
        <f t="shared" si="0"/>
        <v>0</v>
      </c>
      <c r="E53" s="49">
        <f t="shared" si="0"/>
        <v>0</v>
      </c>
      <c r="F53" s="49">
        <f t="shared" si="0"/>
        <v>0</v>
      </c>
      <c r="G53" s="49">
        <f t="shared" si="0"/>
        <v>0</v>
      </c>
    </row>
  </sheetData>
  <conditionalFormatting sqref="C34">
    <cfRule type="cellIs" dxfId="13" priority="2" operator="equal">
      <formula>"GO"</formula>
    </cfRule>
    <cfRule type="cellIs" dxfId="12" priority="3" operator="equal">
      <formula>"WATCH"</formula>
    </cfRule>
    <cfRule type="cellIs" dxfId="11" priority="4" operator="equal">
      <formula>"NO-GO"</formula>
    </cfRule>
    <cfRule type="cellIs" dxfId="10" priority="5" operator="equal">
      <formula>"INCOMPLETE"</formula>
    </cfRule>
    <cfRule type="cellIs" dxfId="9" priority="6" operator="equal">
      <formula>"NOT SCORED"</formula>
    </cfRule>
    <cfRule type="cellIs" dxfId="8" priority="7" operator="equal">
      <formula>"PASS"</formula>
    </cfRule>
    <cfRule type="cellIs" dxfId="7" priority="8" operator="equal">
      <formula>"FAIL"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7202E"/>
    <pageSetUpPr fitToPage="1"/>
  </sheetPr>
  <dimension ref="B1:K44"/>
  <sheetViews>
    <sheetView showGridLines="0" zoomScaleNormal="100" workbookViewId="0">
      <pane ySplit="13" topLeftCell="A14" activePane="bottomLeft" state="frozen"/>
      <selection pane="bottomLeft" activeCell="I46" sqref="I46"/>
    </sheetView>
  </sheetViews>
  <sheetFormatPr defaultColWidth="8.7109375" defaultRowHeight="15" x14ac:dyDescent="0.25"/>
  <cols>
    <col min="1" max="1" width="2.42578125" customWidth="1"/>
    <col min="2" max="2" width="34" customWidth="1"/>
    <col min="3" max="3" width="13" customWidth="1"/>
    <col min="4" max="5" width="6" customWidth="1"/>
    <col min="6" max="6" width="8" customWidth="1"/>
    <col min="7" max="7" width="5" customWidth="1"/>
    <col min="8" max="8" width="26" customWidth="1"/>
    <col min="9" max="9" width="13" customWidth="1"/>
    <col min="10" max="10" width="2" customWidth="1"/>
    <col min="11" max="11" width="44" customWidth="1"/>
  </cols>
  <sheetData>
    <row r="1" spans="2:11" ht="18" customHeight="1" x14ac:dyDescent="0.25">
      <c r="K1" s="2" t="s">
        <v>152</v>
      </c>
    </row>
    <row r="2" spans="2:11" ht="15.75" customHeight="1" x14ac:dyDescent="0.25">
      <c r="K2" s="3" t="s">
        <v>153</v>
      </c>
    </row>
    <row r="3" spans="2:11" ht="3.75" customHeight="1" x14ac:dyDescent="0.25">
      <c r="B3" s="4"/>
      <c r="C3" s="4"/>
      <c r="D3" s="4"/>
      <c r="E3" s="4"/>
      <c r="F3" s="4"/>
      <c r="G3" s="4"/>
      <c r="H3" s="4"/>
      <c r="I3" s="4"/>
      <c r="J3" s="4"/>
      <c r="K3" s="4"/>
    </row>
    <row r="4" spans="2:11" ht="4.5" customHeight="1" x14ac:dyDescent="0.25"/>
    <row r="5" spans="2:11" ht="16.5" customHeight="1" x14ac:dyDescent="0.25">
      <c r="B5" s="5" t="s">
        <v>154</v>
      </c>
      <c r="C5" s="6"/>
      <c r="D5" s="6"/>
      <c r="E5" s="6"/>
      <c r="F5" s="6"/>
      <c r="H5" s="5" t="s">
        <v>155</v>
      </c>
      <c r="I5" s="6"/>
      <c r="J5" s="6"/>
      <c r="K5" s="6"/>
    </row>
    <row r="6" spans="2:11" ht="15.75" customHeight="1" x14ac:dyDescent="0.25">
      <c r="B6" s="7" t="s">
        <v>156</v>
      </c>
      <c r="C6" s="1"/>
      <c r="D6" s="1"/>
      <c r="E6" s="1"/>
      <c r="F6" s="1"/>
      <c r="H6" s="7" t="s">
        <v>157</v>
      </c>
      <c r="I6" s="34">
        <f>SUM(F15:F36)</f>
        <v>0</v>
      </c>
      <c r="J6" s="14"/>
      <c r="K6" s="14"/>
    </row>
    <row r="7" spans="2:11" ht="15.75" customHeight="1" x14ac:dyDescent="0.25">
      <c r="B7" s="7" t="s">
        <v>158</v>
      </c>
      <c r="C7" s="1"/>
      <c r="D7" s="1"/>
      <c r="E7" s="1"/>
      <c r="F7" s="1"/>
      <c r="H7" s="12" t="s">
        <v>159</v>
      </c>
      <c r="I7" s="28">
        <f>COUNTIF(C15:C36,"Yes")+COUNTIF(C15:C36,"Maybe")+COUNTIF(C15:C36,"No")</f>
        <v>0</v>
      </c>
      <c r="J7" s="14"/>
      <c r="K7" s="14"/>
    </row>
    <row r="8" spans="2:11" ht="15.75" customHeight="1" x14ac:dyDescent="0.25">
      <c r="B8" s="7" t="s">
        <v>160</v>
      </c>
      <c r="C8" s="1"/>
      <c r="D8" s="1"/>
      <c r="E8" s="1"/>
      <c r="F8" s="1"/>
      <c r="H8" s="12" t="s">
        <v>161</v>
      </c>
      <c r="I8" s="35">
        <f>IFERROR(COUNTIF(C15:C36,"Maybe")/I7,0)</f>
        <v>0</v>
      </c>
      <c r="J8" s="14"/>
      <c r="K8" s="14"/>
    </row>
    <row r="9" spans="2:11" ht="15.75" customHeight="1" x14ac:dyDescent="0.25">
      <c r="B9" s="7" t="s">
        <v>94</v>
      </c>
      <c r="C9" s="1"/>
      <c r="D9" s="1"/>
      <c r="E9" s="1"/>
      <c r="F9" s="1"/>
      <c r="H9" s="12" t="s">
        <v>162</v>
      </c>
      <c r="I9" s="36" t="str">
        <f>IF(SUMPRODUCT((G15:G36="KO")*(C15:C36="No"))&gt;0,"FAIL","PASS")</f>
        <v>PASS</v>
      </c>
      <c r="J9" s="14"/>
      <c r="K9" s="14"/>
    </row>
    <row r="10" spans="2:11" ht="15.75" customHeight="1" x14ac:dyDescent="0.25">
      <c r="B10" s="7" t="s">
        <v>163</v>
      </c>
      <c r="C10" s="1"/>
      <c r="D10" s="1"/>
      <c r="E10" s="1"/>
      <c r="F10" s="1"/>
      <c r="H10" s="12" t="s">
        <v>164</v>
      </c>
      <c r="I10" s="36" t="str">
        <f>Demographics!C17</f>
        <v>—</v>
      </c>
      <c r="J10" s="14"/>
      <c r="K10" s="14"/>
    </row>
    <row r="11" spans="2:11" ht="21" customHeight="1" x14ac:dyDescent="0.25">
      <c r="B11" s="7" t="s">
        <v>165</v>
      </c>
      <c r="C11" s="1"/>
      <c r="D11" s="1"/>
      <c r="E11" s="1"/>
      <c r="F11" s="1"/>
      <c r="H11" s="29" t="s">
        <v>166</v>
      </c>
      <c r="I11" s="37" t="str">
        <f>IF(I7&lt;17,"NOT SCORED",IF(I9="FAIL","NO-GO",IF(I10="NO-GO","NO-GO",IF(I8&gt;Assumptions!$C$23,"INCOMPLETE",IF(I6&gt;=Assumptions!$C$21,"GO",IF(I6&gt;=Assumptions!$C$22,"WATCH","NO-GO"))))))</f>
        <v>NOT SCORED</v>
      </c>
      <c r="J11" s="6"/>
      <c r="K11" s="6"/>
    </row>
    <row r="12" spans="2:11" ht="6" customHeight="1" x14ac:dyDescent="0.25"/>
    <row r="13" spans="2:11" ht="21" customHeight="1" x14ac:dyDescent="0.25">
      <c r="B13" s="10" t="s">
        <v>167</v>
      </c>
      <c r="C13" s="11" t="s">
        <v>44</v>
      </c>
      <c r="D13" s="11" t="s">
        <v>168</v>
      </c>
      <c r="E13" s="11" t="s">
        <v>169</v>
      </c>
      <c r="F13" s="11" t="s">
        <v>170</v>
      </c>
      <c r="G13" s="11" t="s">
        <v>171</v>
      </c>
      <c r="H13" s="10"/>
      <c r="I13" s="11"/>
      <c r="K13" s="10" t="s">
        <v>172</v>
      </c>
    </row>
    <row r="14" spans="2:11" ht="15.75" customHeight="1" x14ac:dyDescent="0.25">
      <c r="B14" s="38" t="s">
        <v>34</v>
      </c>
      <c r="C14" s="39"/>
      <c r="D14" s="39"/>
      <c r="E14" s="39"/>
      <c r="F14" s="39"/>
      <c r="G14" s="39"/>
      <c r="H14" s="39"/>
      <c r="I14" s="39"/>
      <c r="K14" s="39"/>
    </row>
    <row r="15" spans="2:11" ht="15.75" customHeight="1" x14ac:dyDescent="0.25">
      <c r="B15" s="40" t="s">
        <v>102</v>
      </c>
      <c r="C15" s="36" t="str">
        <f>Demographics!C17</f>
        <v>—</v>
      </c>
      <c r="D15" s="41" t="str">
        <f>IF(Demographics!C14="","",MIN(3,Demographics!C14/100*3))</f>
        <v/>
      </c>
      <c r="E15" s="28">
        <v>10</v>
      </c>
      <c r="F15" s="42">
        <f>IFERROR(D15/3*E15,0)</f>
        <v>0</v>
      </c>
      <c r="G15" s="43"/>
      <c r="H15" s="14"/>
      <c r="I15" s="14"/>
      <c r="K15" s="15" t="s">
        <v>173</v>
      </c>
    </row>
    <row r="16" spans="2:11" ht="15.75" customHeight="1" x14ac:dyDescent="0.25">
      <c r="B16" s="40" t="s">
        <v>174</v>
      </c>
      <c r="C16" s="20"/>
      <c r="D16" s="42" t="str">
        <f>IF(C16="Yes",Assumptions!$C$15,IF(C16="Maybe",Assumptions!$C$16,IF(C16="No",Assumptions!$C$17,"")))</f>
        <v/>
      </c>
      <c r="E16" s="28">
        <v>5</v>
      </c>
      <c r="F16" s="42">
        <f>IFERROR(D16/3*E16,0)</f>
        <v>0</v>
      </c>
      <c r="G16" s="44" t="s">
        <v>171</v>
      </c>
      <c r="H16" s="14"/>
      <c r="I16" s="14"/>
      <c r="K16" s="33" t="s">
        <v>175</v>
      </c>
    </row>
    <row r="17" spans="2:11" ht="15.75" customHeight="1" x14ac:dyDescent="0.25">
      <c r="B17" s="40" t="s">
        <v>176</v>
      </c>
      <c r="C17" s="20"/>
      <c r="D17" s="42" t="str">
        <f>IF(C17="Yes",Assumptions!$C$15,IF(C17="Maybe",Assumptions!$C$16,IF(C17="No",Assumptions!$C$17,"")))</f>
        <v/>
      </c>
      <c r="E17" s="28">
        <v>6</v>
      </c>
      <c r="F17" s="42">
        <f>IFERROR(D17/3*E17,0)</f>
        <v>0</v>
      </c>
      <c r="G17" s="43"/>
      <c r="H17" s="14"/>
      <c r="I17" s="14"/>
      <c r="K17" s="15" t="s">
        <v>177</v>
      </c>
    </row>
    <row r="18" spans="2:11" ht="15.75" customHeight="1" x14ac:dyDescent="0.25">
      <c r="B18" s="40" t="s">
        <v>178</v>
      </c>
      <c r="C18" s="20"/>
      <c r="D18" s="42" t="str">
        <f>IF(C18="Yes",Assumptions!$C$15,IF(C18="Maybe",Assumptions!$C$16,IF(C18="No",Assumptions!$C$17,"")))</f>
        <v/>
      </c>
      <c r="E18" s="28">
        <v>4</v>
      </c>
      <c r="F18" s="42">
        <f>IFERROR(D18/3*E18,0)</f>
        <v>0</v>
      </c>
      <c r="G18" s="43"/>
      <c r="H18" s="14"/>
      <c r="I18" s="14"/>
      <c r="K18" s="33" t="s">
        <v>179</v>
      </c>
    </row>
    <row r="19" spans="2:11" ht="15.75" customHeight="1" x14ac:dyDescent="0.25">
      <c r="B19" s="38" t="s">
        <v>36</v>
      </c>
      <c r="C19" s="39"/>
      <c r="D19" s="39"/>
      <c r="E19" s="39"/>
      <c r="F19" s="39"/>
      <c r="G19" s="39"/>
      <c r="H19" s="39"/>
      <c r="I19" s="39"/>
      <c r="K19" s="39"/>
    </row>
    <row r="20" spans="2:11" ht="15.75" customHeight="1" x14ac:dyDescent="0.25">
      <c r="B20" s="40" t="s">
        <v>180</v>
      </c>
      <c r="C20" s="20"/>
      <c r="D20" s="42" t="str">
        <f>IF(C20="Yes",Assumptions!$C$15,IF(C20="Maybe",Assumptions!$C$16,IF(C20="No",Assumptions!$C$17,"")))</f>
        <v/>
      </c>
      <c r="E20" s="28">
        <v>6</v>
      </c>
      <c r="F20" s="42">
        <f>IFERROR(D20/3*E20,0)</f>
        <v>0</v>
      </c>
      <c r="G20" s="43"/>
      <c r="H20" s="14"/>
      <c r="I20" s="14"/>
      <c r="K20" s="15" t="s">
        <v>181</v>
      </c>
    </row>
    <row r="21" spans="2:11" ht="15.75" customHeight="1" x14ac:dyDescent="0.25">
      <c r="B21" s="40" t="s">
        <v>182</v>
      </c>
      <c r="C21" s="20"/>
      <c r="D21" s="42" t="str">
        <f>IF(C21="Yes",Assumptions!$C$15,IF(C21="Maybe",Assumptions!$C$16,IF(C21="No",Assumptions!$C$17,"")))</f>
        <v/>
      </c>
      <c r="E21" s="28">
        <v>9</v>
      </c>
      <c r="F21" s="42">
        <f>IFERROR(D21/3*E21,0)</f>
        <v>0</v>
      </c>
      <c r="G21" s="44" t="s">
        <v>171</v>
      </c>
      <c r="H21" s="14"/>
      <c r="I21" s="14"/>
      <c r="K21" s="33" t="s">
        <v>183</v>
      </c>
    </row>
    <row r="22" spans="2:11" ht="15.75" customHeight="1" x14ac:dyDescent="0.25">
      <c r="B22" s="40" t="s">
        <v>184</v>
      </c>
      <c r="C22" s="20"/>
      <c r="D22" s="42" t="str">
        <f>IF(C22="Yes",Assumptions!$C$15,IF(C22="Maybe",Assumptions!$C$16,IF(C22="No",Assumptions!$C$17,"")))</f>
        <v/>
      </c>
      <c r="E22" s="28">
        <v>5</v>
      </c>
      <c r="F22" s="42">
        <f>IFERROR(D22/3*E22,0)</f>
        <v>0</v>
      </c>
      <c r="G22" s="43"/>
      <c r="H22" s="14"/>
      <c r="I22" s="14"/>
      <c r="K22" s="15" t="s">
        <v>185</v>
      </c>
    </row>
    <row r="23" spans="2:11" ht="15.75" customHeight="1" x14ac:dyDescent="0.25">
      <c r="B23" s="40" t="s">
        <v>186</v>
      </c>
      <c r="C23" s="20"/>
      <c r="D23" s="42" t="str">
        <f>IF(C23="Yes",Assumptions!$C$15,IF(C23="Maybe",Assumptions!$C$16,IF(C23="No",Assumptions!$C$17,"")))</f>
        <v/>
      </c>
      <c r="E23" s="28">
        <v>5</v>
      </c>
      <c r="F23" s="42">
        <f>IFERROR(D23/3*E23,0)</f>
        <v>0</v>
      </c>
      <c r="G23" s="43"/>
      <c r="H23" s="14"/>
      <c r="I23" s="14"/>
      <c r="K23" s="33" t="s">
        <v>187</v>
      </c>
    </row>
    <row r="24" spans="2:11" ht="15.75" customHeight="1" x14ac:dyDescent="0.25">
      <c r="B24" s="38" t="s">
        <v>38</v>
      </c>
      <c r="C24" s="39"/>
      <c r="D24" s="39"/>
      <c r="E24" s="39"/>
      <c r="F24" s="39"/>
      <c r="G24" s="39"/>
      <c r="H24" s="39"/>
      <c r="I24" s="39"/>
      <c r="K24" s="39"/>
    </row>
    <row r="25" spans="2:11" ht="15.75" customHeight="1" x14ac:dyDescent="0.25">
      <c r="B25" s="40" t="s">
        <v>188</v>
      </c>
      <c r="C25" s="20"/>
      <c r="D25" s="42" t="str">
        <f>IF(C25="Yes",Assumptions!$C$15,IF(C25="Maybe",Assumptions!$C$16,IF(C25="No",Assumptions!$C$17,"")))</f>
        <v/>
      </c>
      <c r="E25" s="28">
        <v>3</v>
      </c>
      <c r="F25" s="42">
        <f t="shared" ref="F25:F30" si="0">IFERROR(D25/3*E25,0)</f>
        <v>0</v>
      </c>
      <c r="G25" s="43"/>
      <c r="H25" s="14"/>
      <c r="I25" s="14"/>
      <c r="K25" s="15" t="s">
        <v>189</v>
      </c>
    </row>
    <row r="26" spans="2:11" ht="15.75" customHeight="1" x14ac:dyDescent="0.25">
      <c r="B26" s="40" t="s">
        <v>190</v>
      </c>
      <c r="C26" s="20"/>
      <c r="D26" s="42" t="str">
        <f>IF(C26="Yes",Assumptions!$C$15,IF(C26="Maybe",Assumptions!$C$16,IF(C26="No",Assumptions!$C$17,"")))</f>
        <v/>
      </c>
      <c r="E26" s="28">
        <v>8</v>
      </c>
      <c r="F26" s="42">
        <f t="shared" si="0"/>
        <v>0</v>
      </c>
      <c r="G26" s="44" t="s">
        <v>171</v>
      </c>
      <c r="H26" s="14"/>
      <c r="I26" s="14"/>
      <c r="K26" s="33" t="s">
        <v>191</v>
      </c>
    </row>
    <row r="27" spans="2:11" ht="15.75" customHeight="1" x14ac:dyDescent="0.25">
      <c r="B27" s="40" t="s">
        <v>192</v>
      </c>
      <c r="C27" s="20"/>
      <c r="D27" s="42" t="str">
        <f>IF(C27="Yes",Assumptions!$C$15,IF(C27="Maybe",Assumptions!$C$16,IF(C27="No",Assumptions!$C$17,"")))</f>
        <v/>
      </c>
      <c r="E27" s="28">
        <v>7</v>
      </c>
      <c r="F27" s="42">
        <f t="shared" si="0"/>
        <v>0</v>
      </c>
      <c r="G27" s="43"/>
      <c r="H27" s="14"/>
      <c r="I27" s="14"/>
      <c r="K27" s="15" t="s">
        <v>193</v>
      </c>
    </row>
    <row r="28" spans="2:11" ht="15.75" customHeight="1" x14ac:dyDescent="0.25">
      <c r="B28" s="40" t="s">
        <v>194</v>
      </c>
      <c r="C28" s="20"/>
      <c r="D28" s="42" t="str">
        <f>IF(C28="Yes",Assumptions!$C$15,IF(C28="Maybe",Assumptions!$C$16,IF(C28="No",Assumptions!$C$17,"")))</f>
        <v/>
      </c>
      <c r="E28" s="28">
        <v>4</v>
      </c>
      <c r="F28" s="42">
        <f t="shared" si="0"/>
        <v>0</v>
      </c>
      <c r="G28" s="43"/>
      <c r="H28" s="14"/>
      <c r="I28" s="14"/>
      <c r="K28" s="33" t="s">
        <v>195</v>
      </c>
    </row>
    <row r="29" spans="2:11" ht="15.75" customHeight="1" x14ac:dyDescent="0.25">
      <c r="B29" s="40" t="s">
        <v>196</v>
      </c>
      <c r="C29" s="20"/>
      <c r="D29" s="42" t="str">
        <f>IF(C29="Yes",Assumptions!$C$15,IF(C29="Maybe",Assumptions!$C$16,IF(C29="No",Assumptions!$C$17,"")))</f>
        <v/>
      </c>
      <c r="E29" s="28">
        <v>3</v>
      </c>
      <c r="F29" s="42">
        <f t="shared" si="0"/>
        <v>0</v>
      </c>
      <c r="G29" s="43"/>
      <c r="H29" s="14"/>
      <c r="I29" s="14"/>
      <c r="K29" s="15" t="s">
        <v>197</v>
      </c>
    </row>
    <row r="30" spans="2:11" ht="15.75" customHeight="1" x14ac:dyDescent="0.25">
      <c r="B30" s="40" t="s">
        <v>198</v>
      </c>
      <c r="C30" s="20"/>
      <c r="D30" s="42" t="str">
        <f>IF(C30="Yes",Assumptions!$C$15,IF(C30="Maybe",Assumptions!$C$16,IF(C30="No",Assumptions!$C$17,"")))</f>
        <v/>
      </c>
      <c r="E30" s="28">
        <v>5</v>
      </c>
      <c r="F30" s="42">
        <f t="shared" si="0"/>
        <v>0</v>
      </c>
      <c r="G30" s="43"/>
      <c r="H30" s="14"/>
      <c r="I30" s="14"/>
      <c r="K30" s="33" t="s">
        <v>199</v>
      </c>
    </row>
    <row r="31" spans="2:11" ht="15.75" customHeight="1" x14ac:dyDescent="0.25">
      <c r="B31" s="45" t="s">
        <v>20</v>
      </c>
      <c r="C31" s="13">
        <v>0.75</v>
      </c>
      <c r="D31" s="18"/>
      <c r="E31" s="18"/>
      <c r="F31" s="18"/>
      <c r="G31" s="18"/>
      <c r="H31" s="14"/>
      <c r="I31" s="14"/>
      <c r="K31" s="15" t="s">
        <v>200</v>
      </c>
    </row>
    <row r="32" spans="2:11" ht="15.75" customHeight="1" x14ac:dyDescent="0.25">
      <c r="B32" s="38" t="s">
        <v>40</v>
      </c>
      <c r="C32" s="39"/>
      <c r="D32" s="39"/>
      <c r="E32" s="39"/>
      <c r="F32" s="39"/>
      <c r="G32" s="39"/>
      <c r="H32" s="39"/>
      <c r="I32" s="39"/>
      <c r="K32" s="39"/>
    </row>
    <row r="33" spans="2:11" ht="15.75" customHeight="1" x14ac:dyDescent="0.25">
      <c r="B33" s="40" t="s">
        <v>201</v>
      </c>
      <c r="C33" s="20"/>
      <c r="D33" s="42" t="str">
        <f>IF(C33="Yes",Assumptions!$C$15,IF(C33="Maybe",Assumptions!$C$16,IF(C33="No",Assumptions!$C$17,"")))</f>
        <v/>
      </c>
      <c r="E33" s="28">
        <v>5</v>
      </c>
      <c r="F33" s="42">
        <f>IFERROR(D33/3*E33,0)</f>
        <v>0</v>
      </c>
      <c r="G33" s="44" t="s">
        <v>171</v>
      </c>
      <c r="H33" s="14"/>
      <c r="I33" s="14"/>
      <c r="K33" s="15" t="s">
        <v>202</v>
      </c>
    </row>
    <row r="34" spans="2:11" ht="15.75" customHeight="1" x14ac:dyDescent="0.25">
      <c r="B34" s="40" t="s">
        <v>203</v>
      </c>
      <c r="C34" s="20"/>
      <c r="D34" s="42" t="str">
        <f>IF(C34="Yes",Assumptions!$C$15,IF(C34="Maybe",Assumptions!$C$16,IF(C34="No",Assumptions!$C$17,"")))</f>
        <v/>
      </c>
      <c r="E34" s="28">
        <v>4</v>
      </c>
      <c r="F34" s="42">
        <f>IFERROR(D34/3*E34,0)</f>
        <v>0</v>
      </c>
      <c r="G34" s="43"/>
      <c r="H34" s="14"/>
      <c r="I34" s="14"/>
      <c r="K34" s="33" t="s">
        <v>204</v>
      </c>
    </row>
    <row r="35" spans="2:11" ht="15.75" customHeight="1" x14ac:dyDescent="0.25">
      <c r="B35" s="40" t="s">
        <v>205</v>
      </c>
      <c r="C35" s="20"/>
      <c r="D35" s="42" t="str">
        <f>IF(C35="Yes",Assumptions!$C$15,IF(C35="Maybe",Assumptions!$C$16,IF(C35="No",Assumptions!$C$17,"")))</f>
        <v/>
      </c>
      <c r="E35" s="28">
        <v>6</v>
      </c>
      <c r="F35" s="42">
        <f>IFERROR(D35/3*E35,0)</f>
        <v>0</v>
      </c>
      <c r="G35" s="44" t="s">
        <v>171</v>
      </c>
      <c r="H35" s="14"/>
      <c r="I35" s="14"/>
      <c r="K35" s="15" t="s">
        <v>206</v>
      </c>
    </row>
    <row r="36" spans="2:11" ht="15.75" customHeight="1" x14ac:dyDescent="0.25">
      <c r="B36" s="40" t="s">
        <v>207</v>
      </c>
      <c r="C36" s="20"/>
      <c r="D36" s="42" t="str">
        <f>IF(C36="Yes",Assumptions!$C$15,IF(C36="Maybe",Assumptions!$C$16,IF(C36="No",Assumptions!$C$17,"")))</f>
        <v/>
      </c>
      <c r="E36" s="28">
        <v>5</v>
      </c>
      <c r="F36" s="42">
        <f>IFERROR(D36/3*E36,0)</f>
        <v>0</v>
      </c>
      <c r="G36" s="43"/>
      <c r="H36" s="14"/>
      <c r="I36" s="14"/>
      <c r="K36" s="33" t="s">
        <v>208</v>
      </c>
    </row>
    <row r="38" spans="2:11" ht="16.5" customHeight="1" x14ac:dyDescent="0.25">
      <c r="B38" s="5" t="s">
        <v>209</v>
      </c>
      <c r="C38" s="6"/>
      <c r="D38" s="6"/>
      <c r="E38" s="6"/>
      <c r="F38" s="6"/>
      <c r="G38" s="6"/>
      <c r="H38" s="6"/>
      <c r="I38" s="6"/>
      <c r="J38" s="6"/>
      <c r="K38" s="6"/>
    </row>
    <row r="39" spans="2:11" x14ac:dyDescent="0.25">
      <c r="B39" s="12" t="s">
        <v>210</v>
      </c>
      <c r="C39" s="28">
        <f>COUNTIF(C15:C36,"Maybe")</f>
        <v>0</v>
      </c>
      <c r="D39" s="14"/>
      <c r="E39" s="14"/>
      <c r="F39" s="14"/>
      <c r="G39" s="14"/>
      <c r="H39" s="14"/>
      <c r="I39" s="14"/>
      <c r="K39" s="14"/>
    </row>
    <row r="40" spans="2:11" x14ac:dyDescent="0.25">
      <c r="B40" s="12" t="s">
        <v>20</v>
      </c>
      <c r="C40" s="35">
        <f>C31</f>
        <v>0.75</v>
      </c>
      <c r="D40" s="14"/>
      <c r="E40" s="14"/>
      <c r="F40" s="14"/>
      <c r="G40" s="14"/>
      <c r="H40" s="14"/>
      <c r="I40" s="14"/>
      <c r="K40" s="14"/>
    </row>
    <row r="41" spans="2:11" x14ac:dyDescent="0.25">
      <c r="B41" s="12" t="s">
        <v>211</v>
      </c>
      <c r="C41" s="46">
        <f>I6*C31</f>
        <v>0</v>
      </c>
      <c r="D41" s="14"/>
      <c r="E41" s="14"/>
      <c r="F41" s="14"/>
      <c r="G41" s="14"/>
      <c r="H41" s="14"/>
      <c r="I41" s="14"/>
      <c r="K41" s="14"/>
    </row>
    <row r="42" spans="2:11" x14ac:dyDescent="0.25">
      <c r="B42" s="12" t="s">
        <v>212</v>
      </c>
      <c r="C42" s="36" t="str">
        <f>'First Look UW'!C34</f>
        <v>—</v>
      </c>
      <c r="D42" s="14"/>
      <c r="E42" s="14"/>
      <c r="F42" s="14"/>
      <c r="G42" s="14"/>
      <c r="H42" s="14"/>
      <c r="I42" s="14"/>
      <c r="K42" s="14"/>
    </row>
    <row r="44" spans="2:11" x14ac:dyDescent="0.25">
      <c r="B44" s="24" t="s">
        <v>213</v>
      </c>
    </row>
  </sheetData>
  <mergeCells count="6">
    <mergeCell ref="C11:F11"/>
    <mergeCell ref="C6:F6"/>
    <mergeCell ref="C7:F7"/>
    <mergeCell ref="C8:F8"/>
    <mergeCell ref="C9:F9"/>
    <mergeCell ref="C10:F10"/>
  </mergeCells>
  <conditionalFormatting sqref="C15:C36">
    <cfRule type="cellIs" dxfId="33" priority="9" operator="equal">
      <formula>"Yes"</formula>
    </cfRule>
    <cfRule type="cellIs" dxfId="32" priority="10" operator="equal">
      <formula>"Maybe"</formula>
    </cfRule>
    <cfRule type="cellIs" dxfId="31" priority="11" operator="equal">
      <formula>"No"</formula>
    </cfRule>
    <cfRule type="cellIs" dxfId="30" priority="12" operator="equal">
      <formula>"GO"</formula>
    </cfRule>
    <cfRule type="cellIs" dxfId="29" priority="13" operator="equal">
      <formula>"WATCH"</formula>
    </cfRule>
    <cfRule type="cellIs" dxfId="28" priority="14" operator="equal">
      <formula>"NO-GO"</formula>
    </cfRule>
  </conditionalFormatting>
  <conditionalFormatting sqref="C42">
    <cfRule type="cellIs" dxfId="27" priority="15" operator="equal">
      <formula>"GO"</formula>
    </cfRule>
    <cfRule type="cellIs" dxfId="26" priority="16" operator="equal">
      <formula>"WATCH"</formula>
    </cfRule>
    <cfRule type="cellIs" dxfId="25" priority="17" operator="equal">
      <formula>"NO-GO"</formula>
    </cfRule>
    <cfRule type="cellIs" dxfId="24" priority="18" operator="equal">
      <formula>"INCOMPLETE"</formula>
    </cfRule>
    <cfRule type="cellIs" dxfId="23" priority="19" operator="equal">
      <formula>"NOT SCORED"</formula>
    </cfRule>
    <cfRule type="cellIs" dxfId="22" priority="20" operator="equal">
      <formula>"PASS"</formula>
    </cfRule>
    <cfRule type="cellIs" dxfId="21" priority="21" operator="equal">
      <formula>"FAIL"</formula>
    </cfRule>
  </conditionalFormatting>
  <conditionalFormatting sqref="I11">
    <cfRule type="cellIs" dxfId="20" priority="2" operator="equal">
      <formula>"GO"</formula>
    </cfRule>
    <cfRule type="cellIs" dxfId="19" priority="3" operator="equal">
      <formula>"WATCH"</formula>
    </cfRule>
    <cfRule type="cellIs" dxfId="18" priority="4" operator="equal">
      <formula>"NO-GO"</formula>
    </cfRule>
    <cfRule type="cellIs" dxfId="17" priority="5" operator="equal">
      <formula>"INCOMPLETE"</formula>
    </cfRule>
    <cfRule type="cellIs" dxfId="16" priority="6" operator="equal">
      <formula>"NOT SCORED"</formula>
    </cfRule>
    <cfRule type="cellIs" dxfId="15" priority="7" operator="equal">
      <formula>"PASS"</formula>
    </cfRule>
    <cfRule type="cellIs" dxfId="14" priority="8" operator="equal">
      <formula>"FAIL"</formula>
    </cfRule>
  </conditionalFormatting>
  <dataValidations count="2">
    <dataValidation type="list" allowBlank="1" sqref="C9" xr:uid="{00000000-0002-0000-0300-000000000000}">
      <formula1>"Mixed-Use,Multifamily"</formula1>
      <formula2>0</formula2>
    </dataValidation>
    <dataValidation type="list" allowBlank="1" sqref="C16:C18 C20:C23 C25:C30 C33:C36" xr:uid="{00000000-0002-0000-0300-000001000000}">
      <formula1>"Yes,Maybe,No"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B2B2B"/>
    <pageSetUpPr fitToPage="1"/>
  </sheetPr>
  <dimension ref="B1:K12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2.42578125" customWidth="1"/>
    <col min="2" max="2" width="30" customWidth="1"/>
    <col min="3" max="3" width="18" customWidth="1"/>
    <col min="4" max="4" width="14" customWidth="1"/>
    <col min="5" max="6" width="11" customWidth="1"/>
    <col min="7" max="7" width="9" customWidth="1"/>
    <col min="8" max="8" width="13" customWidth="1"/>
    <col min="9" max="10" width="16" customWidth="1"/>
    <col min="11" max="11" width="13" customWidth="1"/>
  </cols>
  <sheetData>
    <row r="1" spans="2:11" ht="18" customHeight="1" x14ac:dyDescent="0.25">
      <c r="K1" s="2" t="s">
        <v>267</v>
      </c>
    </row>
    <row r="2" spans="2:11" ht="15.75" customHeight="1" x14ac:dyDescent="0.25">
      <c r="K2" s="3" t="s">
        <v>268</v>
      </c>
    </row>
    <row r="3" spans="2:11" ht="3.75" customHeight="1" x14ac:dyDescent="0.25">
      <c r="B3" s="4"/>
      <c r="C3" s="4"/>
      <c r="D3" s="4"/>
      <c r="E3" s="4"/>
      <c r="F3" s="4"/>
      <c r="G3" s="4"/>
      <c r="H3" s="4"/>
      <c r="I3" s="4"/>
      <c r="J3" s="4"/>
      <c r="K3" s="4"/>
    </row>
    <row r="4" spans="2:11" ht="4.5" customHeight="1" x14ac:dyDescent="0.25"/>
    <row r="5" spans="2:11" x14ac:dyDescent="0.25">
      <c r="B5" s="47" t="s">
        <v>269</v>
      </c>
    </row>
    <row r="7" spans="2:11" ht="21" customHeight="1" x14ac:dyDescent="0.25">
      <c r="B7" s="10" t="s">
        <v>270</v>
      </c>
      <c r="C7" s="10" t="s">
        <v>160</v>
      </c>
      <c r="D7" s="11" t="s">
        <v>94</v>
      </c>
      <c r="E7" s="11" t="s">
        <v>271</v>
      </c>
      <c r="F7" s="11" t="s">
        <v>272</v>
      </c>
      <c r="G7" s="11" t="s">
        <v>273</v>
      </c>
      <c r="H7" s="11" t="s">
        <v>274</v>
      </c>
      <c r="I7" s="11" t="s">
        <v>275</v>
      </c>
      <c r="J7" s="11" t="s">
        <v>276</v>
      </c>
      <c r="K7" s="11" t="s">
        <v>277</v>
      </c>
    </row>
    <row r="8" spans="2:11" x14ac:dyDescent="0.25">
      <c r="B8" s="7" t="str">
        <f>IF('Deal Screen'!C6="","",'Deal Screen'!C6)</f>
        <v/>
      </c>
      <c r="C8" s="7" t="str">
        <f>IF('Deal Screen'!C8="","",'Deal Screen'!C8)</f>
        <v/>
      </c>
      <c r="D8" s="60" t="str">
        <f>IF('Deal Screen'!C9="","",'Deal Screen'!C9)</f>
        <v/>
      </c>
      <c r="E8" s="61" t="str">
        <f>Demographics!C14</f>
        <v/>
      </c>
      <c r="F8" s="62" t="str">
        <f>IF('Deal Screen'!I11="NOT SCORED","",'Deal Screen'!I6)</f>
        <v/>
      </c>
      <c r="G8" s="63">
        <f>'Deal Screen'!C31</f>
        <v>0.75</v>
      </c>
      <c r="H8" s="62" t="str">
        <f>IF('Deal Screen'!I11="NOT SCORED","",'Deal Screen'!C41)</f>
        <v/>
      </c>
      <c r="I8" s="64" t="str">
        <f>IF('First Look UW'!C26=0,"",'First Look UW'!C26)</f>
        <v/>
      </c>
      <c r="J8" s="64" t="str">
        <f>IF('First Look UW'!C29=0,"",'First Look UW'!C29)</f>
        <v/>
      </c>
      <c r="K8" s="60" t="str">
        <f>'Deal Screen'!I11</f>
        <v>NOT SCORED</v>
      </c>
    </row>
    <row r="9" spans="2:11" x14ac:dyDescent="0.25">
      <c r="B9" s="31" t="s">
        <v>278</v>
      </c>
      <c r="C9" s="31" t="s">
        <v>279</v>
      </c>
      <c r="D9" s="32" t="s">
        <v>98</v>
      </c>
      <c r="E9" s="65">
        <v>93</v>
      </c>
      <c r="F9" s="66"/>
      <c r="G9" s="67"/>
      <c r="H9" s="66"/>
      <c r="I9" s="59"/>
      <c r="J9" s="59"/>
      <c r="K9" s="32" t="s">
        <v>280</v>
      </c>
    </row>
    <row r="10" spans="2:11" x14ac:dyDescent="0.25">
      <c r="B10" s="12" t="s">
        <v>281</v>
      </c>
      <c r="C10" s="12" t="s">
        <v>282</v>
      </c>
      <c r="D10" s="26" t="s">
        <v>72</v>
      </c>
      <c r="E10" s="68">
        <v>55</v>
      </c>
      <c r="F10" s="69"/>
      <c r="G10" s="70"/>
      <c r="H10" s="69"/>
      <c r="I10" s="49"/>
      <c r="J10" s="49"/>
      <c r="K10" s="26" t="s">
        <v>280</v>
      </c>
    </row>
    <row r="11" spans="2:11" x14ac:dyDescent="0.25">
      <c r="B11" s="31" t="s">
        <v>283</v>
      </c>
      <c r="C11" s="31" t="s">
        <v>284</v>
      </c>
      <c r="D11" s="32" t="s">
        <v>98</v>
      </c>
      <c r="E11" s="65">
        <v>100</v>
      </c>
      <c r="F11" s="66"/>
      <c r="G11" s="67"/>
      <c r="H11" s="66"/>
      <c r="I11" s="59"/>
      <c r="J11" s="59"/>
      <c r="K11" s="32" t="s">
        <v>285</v>
      </c>
    </row>
    <row r="12" spans="2:11" x14ac:dyDescent="0.25">
      <c r="B12" s="12" t="s">
        <v>126</v>
      </c>
      <c r="C12" s="12" t="s">
        <v>126</v>
      </c>
      <c r="D12" s="26" t="s">
        <v>98</v>
      </c>
      <c r="E12" s="68">
        <v>101</v>
      </c>
      <c r="F12" s="69"/>
      <c r="G12" s="70"/>
      <c r="H12" s="69"/>
      <c r="I12" s="49"/>
      <c r="J12" s="49"/>
      <c r="K12" s="26" t="s">
        <v>285</v>
      </c>
    </row>
  </sheetData>
  <conditionalFormatting sqref="K8:K12">
    <cfRule type="cellIs" dxfId="6" priority="2" operator="equal">
      <formula>"GO"</formula>
    </cfRule>
    <cfRule type="cellIs" dxfId="5" priority="3" operator="equal">
      <formula>"WATCH"</formula>
    </cfRule>
    <cfRule type="cellIs" dxfId="4" priority="4" operator="equal">
      <formula>"NO-GO"</formula>
    </cfRule>
    <cfRule type="cellIs" dxfId="3" priority="5" operator="equal">
      <formula>"INCOMPLETE"</formula>
    </cfRule>
    <cfRule type="cellIs" dxfId="2" priority="6" operator="equal">
      <formula>"NOT SCORED"</formula>
    </cfRule>
    <cfRule type="cellIs" dxfId="1" priority="7" operator="equal">
      <formula>"PASS"</formula>
    </cfRule>
    <cfRule type="cellIs" dxfId="0" priority="8" operator="equal">
      <formula>"FAIL"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Assumptions</vt:lpstr>
      <vt:lpstr>Demographics</vt:lpstr>
      <vt:lpstr>First Look UW</vt:lpstr>
      <vt:lpstr>Deal Screen</vt:lpstr>
      <vt:lpstr>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Tyler Hancock</cp:lastModifiedBy>
  <cp:revision>0</cp:revision>
  <dcterms:created xsi:type="dcterms:W3CDTF">2026-09-02T01:53:33Z</dcterms:created>
  <dcterms:modified xsi:type="dcterms:W3CDTF">2026-09-02T01:56:13Z</dcterms:modified>
  <dc:language>en-US</dc:language>
</cp:coreProperties>
</file>